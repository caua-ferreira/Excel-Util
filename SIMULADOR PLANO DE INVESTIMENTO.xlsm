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G:\Meu Drive\03 - Bagunças\"/>
    </mc:Choice>
  </mc:AlternateContent>
  <xr:revisionPtr revIDLastSave="0" documentId="13_ncr:1_{39356A0E-4475-4FBD-B929-2ADABA0AF889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tabRatio="431" firstSheet="1" activeTab="1" xr2:uid="{00000000-000D-0000-FFFF-FFFF00000000}"/>
  </bookViews>
  <sheets>
    <sheet name="Planilha1" sheetId="3" state="hidden" r:id="rId1"/>
    <sheet name="PRICE" sheetId="2" r:id="rId2"/>
  </sheets>
  <definedNames>
    <definedName name="_xlnm.Print_Area" localSheetId="1">PRICE!$B$6:$H$371</definedName>
    <definedName name="PriceTudo">PRICE!$C$11:$C$370</definedName>
    <definedName name="SACRETudo">#REF!</definedName>
    <definedName name="SACTudo">#REF!</definedName>
    <definedName name="SAMTudo">#REF!</definedName>
    <definedName name="Tabeladinamica1">PRICE!$J$4</definedName>
    <definedName name="_xlnm.Print_Titles" localSheetId="1">PRICE!$6:$10</definedName>
  </definedNames>
  <calcPr calcId="191029"/>
  <pivotCaches>
    <pivotCache cacheId="1042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2" l="1"/>
  <c r="F11" i="2" s="1"/>
  <c r="E9" i="2"/>
  <c r="B4" i="2" s="1"/>
  <c r="I7" i="2"/>
  <c r="B12" i="2"/>
  <c r="B13" i="2" s="1"/>
  <c r="C11" i="2" l="1"/>
  <c r="D11" i="2" s="1"/>
  <c r="E11" i="2" s="1"/>
  <c r="H11" i="2" s="1"/>
  <c r="C12" i="2" s="1"/>
  <c r="D12" i="2" s="1"/>
  <c r="F13" i="2"/>
  <c r="B14" i="2"/>
  <c r="F12" i="2"/>
  <c r="E12" i="2" l="1"/>
  <c r="H12" i="2" s="1"/>
  <c r="C13" i="2" s="1"/>
  <c r="D13" i="2" s="1"/>
  <c r="E13" i="2" s="1"/>
  <c r="H13" i="2" s="1"/>
  <c r="C14" i="2" s="1"/>
  <c r="F14" i="2"/>
  <c r="B15" i="2"/>
  <c r="D14" i="2" l="1"/>
  <c r="E14" i="2" s="1"/>
  <c r="H14" i="2" s="1"/>
  <c r="C15" i="2" s="1"/>
  <c r="F15" i="2"/>
  <c r="B16" i="2"/>
  <c r="D15" i="2" l="1"/>
  <c r="E15" i="2" s="1"/>
  <c r="H15" i="2" s="1"/>
  <c r="C16" i="2" s="1"/>
  <c r="F16" i="2"/>
  <c r="B17" i="2"/>
  <c r="D16" i="2" l="1"/>
  <c r="F17" i="2"/>
  <c r="B18" i="2"/>
  <c r="E16" i="2" l="1"/>
  <c r="H16" i="2" s="1"/>
  <c r="C17" i="2" s="1"/>
  <c r="D17" i="2" s="1"/>
  <c r="F18" i="2"/>
  <c r="B19" i="2"/>
  <c r="E17" i="2" l="1"/>
  <c r="H17" i="2" s="1"/>
  <c r="C18" i="2" s="1"/>
  <c r="D18" i="2" s="1"/>
  <c r="F19" i="2"/>
  <c r="B20" i="2"/>
  <c r="E18" i="2" l="1"/>
  <c r="H18" i="2" s="1"/>
  <c r="C19" i="2" s="1"/>
  <c r="F20" i="2"/>
  <c r="B21" i="2"/>
  <c r="D19" i="2" l="1"/>
  <c r="E19" i="2" s="1"/>
  <c r="H19" i="2" s="1"/>
  <c r="C20" i="2" s="1"/>
  <c r="D20" i="2" s="1"/>
  <c r="E20" i="2" s="1"/>
  <c r="H20" i="2" s="1"/>
  <c r="C21" i="2" s="1"/>
  <c r="F21" i="2"/>
  <c r="B22" i="2"/>
  <c r="D21" i="2" l="1"/>
  <c r="E21" i="2" s="1"/>
  <c r="H21" i="2" s="1"/>
  <c r="C22" i="2" s="1"/>
  <c r="F22" i="2"/>
  <c r="B23" i="2"/>
  <c r="D22" i="2" l="1"/>
  <c r="E22" i="2" s="1"/>
  <c r="H22" i="2" s="1"/>
  <c r="C23" i="2" s="1"/>
  <c r="F23" i="2"/>
  <c r="B24" i="2"/>
  <c r="D23" i="2" l="1"/>
  <c r="E23" i="2" s="1"/>
  <c r="H23" i="2" s="1"/>
  <c r="C24" i="2" s="1"/>
  <c r="F24" i="2"/>
  <c r="B25" i="2"/>
  <c r="D24" i="2" l="1"/>
  <c r="E24" i="2" s="1"/>
  <c r="H24" i="2" s="1"/>
  <c r="C25" i="2" s="1"/>
  <c r="F25" i="2"/>
  <c r="B26" i="2"/>
  <c r="D25" i="2" l="1"/>
  <c r="E25" i="2" s="1"/>
  <c r="H25" i="2" s="1"/>
  <c r="C26" i="2" s="1"/>
  <c r="F26" i="2"/>
  <c r="B27" i="2"/>
  <c r="D26" i="2" l="1"/>
  <c r="E26" i="2" s="1"/>
  <c r="H26" i="2" s="1"/>
  <c r="C27" i="2" s="1"/>
  <c r="F27" i="2"/>
  <c r="B28" i="2"/>
  <c r="D27" i="2" l="1"/>
  <c r="E27" i="2" s="1"/>
  <c r="H27" i="2" s="1"/>
  <c r="C28" i="2" s="1"/>
  <c r="F28" i="2"/>
  <c r="B29" i="2"/>
  <c r="D28" i="2" l="1"/>
  <c r="E28" i="2" s="1"/>
  <c r="H28" i="2" s="1"/>
  <c r="C29" i="2" s="1"/>
  <c r="F29" i="2"/>
  <c r="B30" i="2"/>
  <c r="D29" i="2" l="1"/>
  <c r="E29" i="2" s="1"/>
  <c r="H29" i="2" s="1"/>
  <c r="C30" i="2" s="1"/>
  <c r="F30" i="2"/>
  <c r="B31" i="2"/>
  <c r="D30" i="2" l="1"/>
  <c r="E30" i="2" s="1"/>
  <c r="H30" i="2" s="1"/>
  <c r="C31" i="2" s="1"/>
  <c r="F31" i="2"/>
  <c r="B32" i="2"/>
  <c r="D31" i="2" l="1"/>
  <c r="E31" i="2" s="1"/>
  <c r="H31" i="2" s="1"/>
  <c r="C32" i="2" s="1"/>
  <c r="F32" i="2"/>
  <c r="B33" i="2"/>
  <c r="D32" i="2" l="1"/>
  <c r="E32" i="2" s="1"/>
  <c r="H32" i="2" s="1"/>
  <c r="C33" i="2" s="1"/>
  <c r="D33" i="2" s="1"/>
  <c r="E33" i="2" s="1"/>
  <c r="F33" i="2"/>
  <c r="B34" i="2"/>
  <c r="H33" i="2" l="1"/>
  <c r="C34" i="2" s="1"/>
  <c r="F34" i="2"/>
  <c r="B35" i="2"/>
  <c r="D34" i="2" l="1"/>
  <c r="E34" i="2" s="1"/>
  <c r="H34" i="2" s="1"/>
  <c r="C35" i="2" s="1"/>
  <c r="F35" i="2"/>
  <c r="B36" i="2"/>
  <c r="D35" i="2" l="1"/>
  <c r="E35" i="2" s="1"/>
  <c r="H35" i="2" s="1"/>
  <c r="C36" i="2" s="1"/>
  <c r="D36" i="2" s="1"/>
  <c r="F36" i="2"/>
  <c r="B37" i="2"/>
  <c r="E36" i="2" l="1"/>
  <c r="H36" i="2" s="1"/>
  <c r="C37" i="2" s="1"/>
  <c r="F37" i="2"/>
  <c r="B38" i="2"/>
  <c r="D37" i="2" l="1"/>
  <c r="E37" i="2" s="1"/>
  <c r="H37" i="2" s="1"/>
  <c r="C38" i="2" s="1"/>
  <c r="F38" i="2"/>
  <c r="B39" i="2"/>
  <c r="D38" i="2" l="1"/>
  <c r="E38" i="2" s="1"/>
  <c r="H38" i="2" s="1"/>
  <c r="C39" i="2" s="1"/>
  <c r="F39" i="2"/>
  <c r="B40" i="2"/>
  <c r="D39" i="2" l="1"/>
  <c r="E39" i="2" s="1"/>
  <c r="H39" i="2" s="1"/>
  <c r="C40" i="2" s="1"/>
  <c r="F40" i="2"/>
  <c r="B41" i="2"/>
  <c r="D40" i="2" l="1"/>
  <c r="E40" i="2" s="1"/>
  <c r="H40" i="2" s="1"/>
  <c r="C41" i="2" s="1"/>
  <c r="F41" i="2"/>
  <c r="B42" i="2"/>
  <c r="D41" i="2" l="1"/>
  <c r="E41" i="2" s="1"/>
  <c r="H41" i="2" s="1"/>
  <c r="C42" i="2" s="1"/>
  <c r="F42" i="2"/>
  <c r="B43" i="2"/>
  <c r="D42" i="2" l="1"/>
  <c r="E42" i="2" s="1"/>
  <c r="H42" i="2" s="1"/>
  <c r="C43" i="2" s="1"/>
  <c r="F43" i="2"/>
  <c r="B44" i="2"/>
  <c r="D43" i="2" l="1"/>
  <c r="E43" i="2" s="1"/>
  <c r="H43" i="2" s="1"/>
  <c r="C44" i="2" s="1"/>
  <c r="D44" i="2" s="1"/>
  <c r="E44" i="2" s="1"/>
  <c r="F44" i="2"/>
  <c r="B45" i="2"/>
  <c r="H44" i="2" l="1"/>
  <c r="C45" i="2" s="1"/>
  <c r="D45" i="2" s="1"/>
  <c r="E45" i="2" s="1"/>
  <c r="F45" i="2"/>
  <c r="B46" i="2"/>
  <c r="H45" i="2" l="1"/>
  <c r="C46" i="2" s="1"/>
  <c r="D46" i="2" s="1"/>
  <c r="E46" i="2" s="1"/>
  <c r="F46" i="2"/>
  <c r="B47" i="2"/>
  <c r="H46" i="2" l="1"/>
  <c r="C47" i="2" s="1"/>
  <c r="D47" i="2" s="1"/>
  <c r="F47" i="2"/>
  <c r="B48" i="2"/>
  <c r="E47" i="2" l="1"/>
  <c r="H47" i="2" s="1"/>
  <c r="C48" i="2" s="1"/>
  <c r="D48" i="2" s="1"/>
  <c r="F48" i="2"/>
  <c r="B49" i="2"/>
  <c r="E48" i="2" l="1"/>
  <c r="H48" i="2" s="1"/>
  <c r="C49" i="2" s="1"/>
  <c r="D49" i="2" s="1"/>
  <c r="E49" i="2" s="1"/>
  <c r="F49" i="2"/>
  <c r="B50" i="2"/>
  <c r="H49" i="2" l="1"/>
  <c r="C50" i="2" s="1"/>
  <c r="D50" i="2" s="1"/>
  <c r="E50" i="2" s="1"/>
  <c r="F50" i="2"/>
  <c r="B51" i="2"/>
  <c r="H50" i="2" l="1"/>
  <c r="C51" i="2" s="1"/>
  <c r="D51" i="2" s="1"/>
  <c r="F51" i="2"/>
  <c r="B52" i="2"/>
  <c r="E51" i="2" l="1"/>
  <c r="H51" i="2" s="1"/>
  <c r="C52" i="2" s="1"/>
  <c r="D52" i="2" s="1"/>
  <c r="E52" i="2" s="1"/>
  <c r="F52" i="2"/>
  <c r="B53" i="2"/>
  <c r="H52" i="2" l="1"/>
  <c r="C53" i="2" s="1"/>
  <c r="D53" i="2" s="1"/>
  <c r="E53" i="2" s="1"/>
  <c r="F53" i="2"/>
  <c r="B54" i="2"/>
  <c r="H53" i="2" l="1"/>
  <c r="C54" i="2" s="1"/>
  <c r="D54" i="2" s="1"/>
  <c r="E54" i="2" s="1"/>
  <c r="F54" i="2"/>
  <c r="B55" i="2"/>
  <c r="H54" i="2" l="1"/>
  <c r="C55" i="2" s="1"/>
  <c r="D55" i="2" s="1"/>
  <c r="F55" i="2"/>
  <c r="B56" i="2"/>
  <c r="E55" i="2" l="1"/>
  <c r="H55" i="2" s="1"/>
  <c r="C56" i="2" s="1"/>
  <c r="D56" i="2" s="1"/>
  <c r="F56" i="2"/>
  <c r="B57" i="2"/>
  <c r="E56" i="2" l="1"/>
  <c r="H56" i="2" s="1"/>
  <c r="C57" i="2" s="1"/>
  <c r="F57" i="2"/>
  <c r="B58" i="2"/>
  <c r="B59" i="2" s="1"/>
  <c r="F59" i="2" l="1"/>
  <c r="B60" i="2"/>
  <c r="D57" i="2"/>
  <c r="E57" i="2" s="1"/>
  <c r="H57" i="2" s="1"/>
  <c r="C58" i="2" s="1"/>
  <c r="F58" i="2"/>
  <c r="F60" i="2" l="1"/>
  <c r="B61" i="2"/>
  <c r="D58" i="2"/>
  <c r="E58" i="2" s="1"/>
  <c r="H58" i="2" s="1"/>
  <c r="C59" i="2" s="1"/>
  <c r="D59" i="2" s="1"/>
  <c r="E59" i="2" s="1"/>
  <c r="H59" i="2" s="1"/>
  <c r="C60" i="2" s="1"/>
  <c r="D60" i="2" s="1"/>
  <c r="E60" i="2" s="1"/>
  <c r="H60" i="2" l="1"/>
  <c r="C61" i="2" s="1"/>
  <c r="D61" i="2" s="1"/>
  <c r="E61" i="2" s="1"/>
  <c r="B62" i="2"/>
  <c r="F61" i="2"/>
  <c r="H61" i="2" l="1"/>
  <c r="C62" i="2" s="1"/>
  <c r="D62" i="2" s="1"/>
  <c r="E62" i="2" s="1"/>
  <c r="F62" i="2"/>
  <c r="B63" i="2"/>
  <c r="H62" i="2" l="1"/>
  <c r="C63" i="2" s="1"/>
  <c r="D63" i="2" s="1"/>
  <c r="E63" i="2" s="1"/>
  <c r="B64" i="2"/>
  <c r="F63" i="2"/>
  <c r="H63" i="2" l="1"/>
  <c r="C64" i="2" s="1"/>
  <c r="D64" i="2" s="1"/>
  <c r="E64" i="2" s="1"/>
  <c r="F64" i="2"/>
  <c r="B65" i="2"/>
  <c r="H64" i="2" l="1"/>
  <c r="C65" i="2" s="1"/>
  <c r="D65" i="2" s="1"/>
  <c r="E65" i="2" s="1"/>
  <c r="B66" i="2"/>
  <c r="F65" i="2"/>
  <c r="H65" i="2" l="1"/>
  <c r="C66" i="2" s="1"/>
  <c r="D66" i="2" s="1"/>
  <c r="E66" i="2" s="1"/>
  <c r="F66" i="2"/>
  <c r="B67" i="2"/>
  <c r="H66" i="2" l="1"/>
  <c r="C67" i="2" s="1"/>
  <c r="D67" i="2" s="1"/>
  <c r="E67" i="2" s="1"/>
  <c r="B68" i="2"/>
  <c r="F67" i="2"/>
  <c r="H67" i="2" l="1"/>
  <c r="C68" i="2" s="1"/>
  <c r="D68" i="2" s="1"/>
  <c r="E68" i="2" s="1"/>
  <c r="F68" i="2"/>
  <c r="B69" i="2"/>
  <c r="H68" i="2" l="1"/>
  <c r="C69" i="2" s="1"/>
  <c r="D69" i="2" s="1"/>
  <c r="E69" i="2" s="1"/>
  <c r="F69" i="2"/>
  <c r="B70" i="2"/>
  <c r="H69" i="2" l="1"/>
  <c r="C70" i="2" s="1"/>
  <c r="D70" i="2" s="1"/>
  <c r="E70" i="2" s="1"/>
  <c r="B71" i="2"/>
  <c r="F70" i="2"/>
  <c r="H70" i="2" l="1"/>
  <c r="C71" i="2" s="1"/>
  <c r="D71" i="2" s="1"/>
  <c r="E71" i="2" s="1"/>
  <c r="B72" i="2"/>
  <c r="F71" i="2"/>
  <c r="H71" i="2" l="1"/>
  <c r="C72" i="2" s="1"/>
  <c r="D72" i="2" s="1"/>
  <c r="E72" i="2" s="1"/>
  <c r="F72" i="2"/>
  <c r="B73" i="2"/>
  <c r="H72" i="2" l="1"/>
  <c r="C73" i="2" s="1"/>
  <c r="D73" i="2" s="1"/>
  <c r="E73" i="2" s="1"/>
  <c r="F73" i="2"/>
  <c r="B74" i="2"/>
  <c r="H73" i="2" l="1"/>
  <c r="C74" i="2" s="1"/>
  <c r="D74" i="2" s="1"/>
  <c r="E74" i="2" s="1"/>
  <c r="F74" i="2"/>
  <c r="B75" i="2"/>
  <c r="H74" i="2" l="1"/>
  <c r="C75" i="2" s="1"/>
  <c r="D75" i="2" s="1"/>
  <c r="E75" i="2" s="1"/>
  <c r="B76" i="2"/>
  <c r="F75" i="2"/>
  <c r="H75" i="2" l="1"/>
  <c r="C76" i="2" s="1"/>
  <c r="D76" i="2" s="1"/>
  <c r="E76" i="2" s="1"/>
  <c r="F76" i="2"/>
  <c r="B77" i="2"/>
  <c r="H76" i="2" l="1"/>
  <c r="C77" i="2" s="1"/>
  <c r="D77" i="2" s="1"/>
  <c r="E77" i="2" s="1"/>
  <c r="F77" i="2"/>
  <c r="B78" i="2"/>
  <c r="H77" i="2" l="1"/>
  <c r="C78" i="2" s="1"/>
  <c r="D78" i="2" s="1"/>
  <c r="E78" i="2" s="1"/>
  <c r="F78" i="2"/>
  <c r="B79" i="2"/>
  <c r="H78" i="2" l="1"/>
  <c r="C79" i="2" s="1"/>
  <c r="D79" i="2" s="1"/>
  <c r="E79" i="2" s="1"/>
  <c r="B80" i="2"/>
  <c r="F79" i="2"/>
  <c r="H79" i="2" l="1"/>
  <c r="C80" i="2" s="1"/>
  <c r="D80" i="2" s="1"/>
  <c r="E80" i="2" s="1"/>
  <c r="B81" i="2"/>
  <c r="F80" i="2"/>
  <c r="H80" i="2" l="1"/>
  <c r="C81" i="2" s="1"/>
  <c r="D81" i="2" s="1"/>
  <c r="E81" i="2" s="1"/>
  <c r="F81" i="2"/>
  <c r="B82" i="2"/>
  <c r="H81" i="2" l="1"/>
  <c r="C82" i="2" s="1"/>
  <c r="D82" i="2" s="1"/>
  <c r="E82" i="2" s="1"/>
  <c r="B83" i="2"/>
  <c r="F82" i="2"/>
  <c r="H82" i="2" l="1"/>
  <c r="C83" i="2" s="1"/>
  <c r="D83" i="2" s="1"/>
  <c r="E83" i="2" s="1"/>
  <c r="B84" i="2"/>
  <c r="F83" i="2"/>
  <c r="H83" i="2" l="1"/>
  <c r="C84" i="2" s="1"/>
  <c r="D84" i="2" s="1"/>
  <c r="E84" i="2" s="1"/>
  <c r="B85" i="2"/>
  <c r="F84" i="2"/>
  <c r="H84" i="2" l="1"/>
  <c r="C85" i="2" s="1"/>
  <c r="D85" i="2" s="1"/>
  <c r="E85" i="2" s="1"/>
  <c r="B86" i="2"/>
  <c r="F85" i="2"/>
  <c r="H85" i="2" l="1"/>
  <c r="C86" i="2" s="1"/>
  <c r="D86" i="2" s="1"/>
  <c r="E86" i="2" s="1"/>
  <c r="F86" i="2"/>
  <c r="B87" i="2"/>
  <c r="H86" i="2" l="1"/>
  <c r="C87" i="2" s="1"/>
  <c r="D87" i="2" s="1"/>
  <c r="E87" i="2" s="1"/>
  <c r="B88" i="2"/>
  <c r="F87" i="2"/>
  <c r="H87" i="2" l="1"/>
  <c r="C88" i="2" s="1"/>
  <c r="D88" i="2" s="1"/>
  <c r="E88" i="2" s="1"/>
  <c r="F88" i="2"/>
  <c r="B89" i="2"/>
  <c r="H88" i="2" l="1"/>
  <c r="C89" i="2" s="1"/>
  <c r="D89" i="2" s="1"/>
  <c r="E89" i="2" s="1"/>
  <c r="B90" i="2"/>
  <c r="F89" i="2"/>
  <c r="H89" i="2" l="1"/>
  <c r="C90" i="2" s="1"/>
  <c r="D90" i="2" s="1"/>
  <c r="E90" i="2" s="1"/>
  <c r="F90" i="2"/>
  <c r="B91" i="2"/>
  <c r="H90" i="2" l="1"/>
  <c r="C91" i="2" s="1"/>
  <c r="D91" i="2" s="1"/>
  <c r="E91" i="2" s="1"/>
  <c r="B92" i="2"/>
  <c r="F91" i="2"/>
  <c r="H91" i="2" l="1"/>
  <c r="C92" i="2" s="1"/>
  <c r="D92" i="2" s="1"/>
  <c r="E92" i="2" s="1"/>
  <c r="F92" i="2"/>
  <c r="B93" i="2"/>
  <c r="H92" i="2" l="1"/>
  <c r="C93" i="2" s="1"/>
  <c r="D93" i="2" s="1"/>
  <c r="E93" i="2" s="1"/>
  <c r="B94" i="2"/>
  <c r="F93" i="2"/>
  <c r="H93" i="2" l="1"/>
  <c r="C94" i="2" s="1"/>
  <c r="D94" i="2" s="1"/>
  <c r="E94" i="2" s="1"/>
  <c r="B95" i="2"/>
  <c r="F94" i="2"/>
  <c r="H94" i="2" l="1"/>
  <c r="C95" i="2" s="1"/>
  <c r="D95" i="2" s="1"/>
  <c r="E95" i="2" s="1"/>
  <c r="B96" i="2"/>
  <c r="F95" i="2"/>
  <c r="H95" i="2" l="1"/>
  <c r="C96" i="2" s="1"/>
  <c r="D96" i="2" s="1"/>
  <c r="B97" i="2"/>
  <c r="F96" i="2"/>
  <c r="E96" i="2" l="1"/>
  <c r="H96" i="2" s="1"/>
  <c r="C97" i="2" s="1"/>
  <c r="D97" i="2" s="1"/>
  <c r="E97" i="2" s="1"/>
  <c r="B98" i="2"/>
  <c r="F97" i="2"/>
  <c r="H97" i="2" l="1"/>
  <c r="C98" i="2" s="1"/>
  <c r="D98" i="2" s="1"/>
  <c r="E98" i="2" s="1"/>
  <c r="B99" i="2"/>
  <c r="F98" i="2"/>
  <c r="H98" i="2" l="1"/>
  <c r="C99" i="2" s="1"/>
  <c r="D99" i="2" s="1"/>
  <c r="E99" i="2" s="1"/>
  <c r="F99" i="2"/>
  <c r="B100" i="2"/>
  <c r="H99" i="2" l="1"/>
  <c r="C100" i="2" s="1"/>
  <c r="D100" i="2" s="1"/>
  <c r="E100" i="2" s="1"/>
  <c r="B101" i="2"/>
  <c r="F100" i="2"/>
  <c r="H100" i="2" l="1"/>
  <c r="C101" i="2" s="1"/>
  <c r="D101" i="2" s="1"/>
  <c r="E101" i="2" s="1"/>
  <c r="F101" i="2"/>
  <c r="B102" i="2"/>
  <c r="H101" i="2" l="1"/>
  <c r="C102" i="2" s="1"/>
  <c r="D102" i="2" s="1"/>
  <c r="E102" i="2" s="1"/>
  <c r="B103" i="2"/>
  <c r="F102" i="2"/>
  <c r="H102" i="2" l="1"/>
  <c r="C103" i="2" s="1"/>
  <c r="D103" i="2" s="1"/>
  <c r="E103" i="2" s="1"/>
  <c r="B104" i="2"/>
  <c r="F103" i="2"/>
  <c r="H103" i="2" l="1"/>
  <c r="C104" i="2" s="1"/>
  <c r="D104" i="2" s="1"/>
  <c r="E104" i="2" s="1"/>
  <c r="B105" i="2"/>
  <c r="F104" i="2"/>
  <c r="H104" i="2" l="1"/>
  <c r="C105" i="2" s="1"/>
  <c r="D105" i="2" s="1"/>
  <c r="E105" i="2" s="1"/>
  <c r="F105" i="2"/>
  <c r="B106" i="2"/>
  <c r="H105" i="2" l="1"/>
  <c r="C106" i="2" s="1"/>
  <c r="D106" i="2" s="1"/>
  <c r="E106" i="2" s="1"/>
  <c r="B107" i="2"/>
  <c r="F106" i="2"/>
  <c r="H106" i="2" l="1"/>
  <c r="C107" i="2" s="1"/>
  <c r="D107" i="2" s="1"/>
  <c r="E107" i="2" s="1"/>
  <c r="B108" i="2"/>
  <c r="F107" i="2"/>
  <c r="H107" i="2" l="1"/>
  <c r="C108" i="2" s="1"/>
  <c r="D108" i="2" s="1"/>
  <c r="E108" i="2" s="1"/>
  <c r="B109" i="2"/>
  <c r="F108" i="2"/>
  <c r="H108" i="2" l="1"/>
  <c r="C109" i="2" s="1"/>
  <c r="D109" i="2" s="1"/>
  <c r="E109" i="2" s="1"/>
  <c r="F109" i="2"/>
  <c r="B110" i="2"/>
  <c r="H109" i="2" l="1"/>
  <c r="C110" i="2" s="1"/>
  <c r="D110" i="2" s="1"/>
  <c r="E110" i="2" s="1"/>
  <c r="F110" i="2"/>
  <c r="B111" i="2"/>
  <c r="H110" i="2" l="1"/>
  <c r="C111" i="2" s="1"/>
  <c r="D111" i="2" s="1"/>
  <c r="E111" i="2" s="1"/>
  <c r="F111" i="2"/>
  <c r="B112" i="2"/>
  <c r="H111" i="2" l="1"/>
  <c r="C112" i="2" s="1"/>
  <c r="D112" i="2" s="1"/>
  <c r="E112" i="2" s="1"/>
  <c r="F112" i="2"/>
  <c r="B113" i="2"/>
  <c r="H112" i="2" l="1"/>
  <c r="C113" i="2" s="1"/>
  <c r="D113" i="2" s="1"/>
  <c r="E113" i="2" s="1"/>
  <c r="F113" i="2"/>
  <c r="B114" i="2"/>
  <c r="H113" i="2" l="1"/>
  <c r="C114" i="2" s="1"/>
  <c r="D114" i="2" s="1"/>
  <c r="E114" i="2" s="1"/>
  <c r="B115" i="2"/>
  <c r="F114" i="2"/>
  <c r="H114" i="2" l="1"/>
  <c r="C115" i="2" s="1"/>
  <c r="D115" i="2" s="1"/>
  <c r="E115" i="2" s="1"/>
  <c r="F115" i="2"/>
  <c r="B116" i="2"/>
  <c r="H115" i="2" l="1"/>
  <c r="C116" i="2" s="1"/>
  <c r="D116" i="2" s="1"/>
  <c r="E116" i="2" s="1"/>
  <c r="B117" i="2"/>
  <c r="F116" i="2"/>
  <c r="H116" i="2" l="1"/>
  <c r="C117" i="2" s="1"/>
  <c r="F117" i="2"/>
  <c r="B118" i="2"/>
  <c r="D117" i="2" l="1"/>
  <c r="E117" i="2" s="1"/>
  <c r="H117" i="2" s="1"/>
  <c r="C118" i="2" s="1"/>
  <c r="D118" i="2" s="1"/>
  <c r="E118" i="2" s="1"/>
  <c r="B119" i="2"/>
  <c r="F118" i="2"/>
  <c r="H118" i="2" l="1"/>
  <c r="C119" i="2" s="1"/>
  <c r="D119" i="2" s="1"/>
  <c r="E119" i="2" s="1"/>
  <c r="B120" i="2"/>
  <c r="F119" i="2"/>
  <c r="H119" i="2" l="1"/>
  <c r="C120" i="2" s="1"/>
  <c r="D120" i="2" s="1"/>
  <c r="E120" i="2" s="1"/>
  <c r="B121" i="2"/>
  <c r="F120" i="2"/>
  <c r="H120" i="2" l="1"/>
  <c r="C121" i="2" s="1"/>
  <c r="D121" i="2" s="1"/>
  <c r="E121" i="2" s="1"/>
  <c r="B122" i="2"/>
  <c r="F121" i="2"/>
  <c r="H121" i="2" l="1"/>
  <c r="C122" i="2" s="1"/>
  <c r="D122" i="2" s="1"/>
  <c r="E122" i="2" s="1"/>
  <c r="F122" i="2"/>
  <c r="B123" i="2"/>
  <c r="H122" i="2" l="1"/>
  <c r="C123" i="2" s="1"/>
  <c r="D123" i="2" s="1"/>
  <c r="E123" i="2" s="1"/>
  <c r="B124" i="2"/>
  <c r="F123" i="2"/>
  <c r="H123" i="2" l="1"/>
  <c r="C124" i="2" s="1"/>
  <c r="D124" i="2" s="1"/>
  <c r="E124" i="2" s="1"/>
  <c r="B125" i="2"/>
  <c r="F124" i="2"/>
  <c r="H124" i="2" l="1"/>
  <c r="C125" i="2" s="1"/>
  <c r="D125" i="2" s="1"/>
  <c r="E125" i="2" s="1"/>
  <c r="B126" i="2"/>
  <c r="F125" i="2"/>
  <c r="H125" i="2" l="1"/>
  <c r="C126" i="2" s="1"/>
  <c r="D126" i="2" s="1"/>
  <c r="E126" i="2" s="1"/>
  <c r="B127" i="2"/>
  <c r="F126" i="2"/>
  <c r="H126" i="2" l="1"/>
  <c r="C127" i="2" s="1"/>
  <c r="D127" i="2" s="1"/>
  <c r="E127" i="2" s="1"/>
  <c r="F127" i="2"/>
  <c r="B128" i="2"/>
  <c r="H127" i="2" l="1"/>
  <c r="C128" i="2" s="1"/>
  <c r="D128" i="2" s="1"/>
  <c r="E128" i="2" s="1"/>
  <c r="B129" i="2"/>
  <c r="F128" i="2"/>
  <c r="H128" i="2" l="1"/>
  <c r="C129" i="2" s="1"/>
  <c r="D129" i="2" s="1"/>
  <c r="E129" i="2" s="1"/>
  <c r="B130" i="2"/>
  <c r="F129" i="2"/>
  <c r="H129" i="2" l="1"/>
  <c r="C130" i="2" s="1"/>
  <c r="B131" i="2"/>
  <c r="F130" i="2"/>
  <c r="D130" i="2" l="1"/>
  <c r="E130" i="2" s="1"/>
  <c r="H130" i="2" s="1"/>
  <c r="C131" i="2" s="1"/>
  <c r="D131" i="2" s="1"/>
  <c r="E131" i="2" s="1"/>
  <c r="B132" i="2"/>
  <c r="F131" i="2"/>
  <c r="H131" i="2" l="1"/>
  <c r="C132" i="2" s="1"/>
  <c r="D132" i="2" s="1"/>
  <c r="E132" i="2" s="1"/>
  <c r="F132" i="2"/>
  <c r="B133" i="2"/>
  <c r="H132" i="2" l="1"/>
  <c r="C133" i="2" s="1"/>
  <c r="D133" i="2" s="1"/>
  <c r="E133" i="2" s="1"/>
  <c r="B134" i="2"/>
  <c r="F133" i="2"/>
  <c r="H133" i="2" l="1"/>
  <c r="C134" i="2" s="1"/>
  <c r="D134" i="2" s="1"/>
  <c r="E134" i="2" s="1"/>
  <c r="F134" i="2"/>
  <c r="B135" i="2"/>
  <c r="H134" i="2" l="1"/>
  <c r="C135" i="2" s="1"/>
  <c r="D135" i="2" s="1"/>
  <c r="B136" i="2"/>
  <c r="F135" i="2"/>
  <c r="E135" i="2" l="1"/>
  <c r="H135" i="2" s="1"/>
  <c r="C136" i="2" s="1"/>
  <c r="D136" i="2" s="1"/>
  <c r="E136" i="2" s="1"/>
  <c r="F136" i="2"/>
  <c r="B137" i="2"/>
  <c r="H136" i="2" l="1"/>
  <c r="C137" i="2" s="1"/>
  <c r="D137" i="2" s="1"/>
  <c r="B138" i="2"/>
  <c r="F137" i="2"/>
  <c r="E137" i="2" l="1"/>
  <c r="H137" i="2" s="1"/>
  <c r="C138" i="2" s="1"/>
  <c r="D138" i="2" s="1"/>
  <c r="E138" i="2" s="1"/>
  <c r="F138" i="2"/>
  <c r="B139" i="2"/>
  <c r="H138" i="2" l="1"/>
  <c r="C139" i="2" s="1"/>
  <c r="D139" i="2" s="1"/>
  <c r="E139" i="2" s="1"/>
  <c r="B140" i="2"/>
  <c r="F139" i="2"/>
  <c r="H139" i="2" l="1"/>
  <c r="C140" i="2" s="1"/>
  <c r="D140" i="2" s="1"/>
  <c r="E140" i="2" s="1"/>
  <c r="F140" i="2"/>
  <c r="B141" i="2"/>
  <c r="H140" i="2" l="1"/>
  <c r="C141" i="2" s="1"/>
  <c r="D141" i="2" s="1"/>
  <c r="E141" i="2" s="1"/>
  <c r="B142" i="2"/>
  <c r="F141" i="2"/>
  <c r="H141" i="2" l="1"/>
  <c r="C142" i="2" s="1"/>
  <c r="D142" i="2" s="1"/>
  <c r="E142" i="2" s="1"/>
  <c r="B143" i="2"/>
  <c r="F142" i="2"/>
  <c r="H142" i="2" l="1"/>
  <c r="C143" i="2" s="1"/>
  <c r="D143" i="2" s="1"/>
  <c r="E143" i="2" s="1"/>
  <c r="B144" i="2"/>
  <c r="F143" i="2"/>
  <c r="H143" i="2" l="1"/>
  <c r="C144" i="2" s="1"/>
  <c r="D144" i="2" s="1"/>
  <c r="E144" i="2" s="1"/>
  <c r="F144" i="2"/>
  <c r="B145" i="2"/>
  <c r="H144" i="2" l="1"/>
  <c r="C145" i="2" s="1"/>
  <c r="D145" i="2" s="1"/>
  <c r="E145" i="2" s="1"/>
  <c r="F145" i="2"/>
  <c r="B146" i="2"/>
  <c r="H145" i="2" l="1"/>
  <c r="C146" i="2" s="1"/>
  <c r="D146" i="2" s="1"/>
  <c r="E146" i="2" s="1"/>
  <c r="F146" i="2"/>
  <c r="B147" i="2"/>
  <c r="H146" i="2" l="1"/>
  <c r="C147" i="2" s="1"/>
  <c r="D147" i="2" s="1"/>
  <c r="E147" i="2" s="1"/>
  <c r="B148" i="2"/>
  <c r="F147" i="2"/>
  <c r="H147" i="2" l="1"/>
  <c r="C148" i="2" s="1"/>
  <c r="D148" i="2" s="1"/>
  <c r="E148" i="2" s="1"/>
  <c r="F148" i="2"/>
  <c r="B149" i="2"/>
  <c r="H148" i="2" l="1"/>
  <c r="C149" i="2" s="1"/>
  <c r="D149" i="2" s="1"/>
  <c r="E149" i="2" s="1"/>
  <c r="B150" i="2"/>
  <c r="F149" i="2"/>
  <c r="H149" i="2" l="1"/>
  <c r="C150" i="2" s="1"/>
  <c r="D150" i="2" s="1"/>
  <c r="E150" i="2" s="1"/>
  <c r="F150" i="2"/>
  <c r="B151" i="2"/>
  <c r="H150" i="2" l="1"/>
  <c r="C151" i="2" s="1"/>
  <c r="D151" i="2" s="1"/>
  <c r="E151" i="2" s="1"/>
  <c r="F151" i="2"/>
  <c r="B152" i="2"/>
  <c r="H151" i="2" l="1"/>
  <c r="C152" i="2" s="1"/>
  <c r="D152" i="2" s="1"/>
  <c r="E152" i="2" s="1"/>
  <c r="B153" i="2"/>
  <c r="F152" i="2"/>
  <c r="H152" i="2" l="1"/>
  <c r="C153" i="2" s="1"/>
  <c r="D153" i="2" s="1"/>
  <c r="E153" i="2" s="1"/>
  <c r="B154" i="2"/>
  <c r="F153" i="2"/>
  <c r="H153" i="2" l="1"/>
  <c r="C154" i="2" s="1"/>
  <c r="D154" i="2" s="1"/>
  <c r="E154" i="2" s="1"/>
  <c r="B155" i="2"/>
  <c r="F154" i="2"/>
  <c r="H154" i="2" l="1"/>
  <c r="C155" i="2" s="1"/>
  <c r="D155" i="2" s="1"/>
  <c r="E155" i="2" s="1"/>
  <c r="B156" i="2"/>
  <c r="F155" i="2"/>
  <c r="H155" i="2" l="1"/>
  <c r="C156" i="2" s="1"/>
  <c r="D156" i="2" s="1"/>
  <c r="E156" i="2" s="1"/>
  <c r="F156" i="2"/>
  <c r="B157" i="2"/>
  <c r="H156" i="2" l="1"/>
  <c r="C157" i="2" s="1"/>
  <c r="D157" i="2" s="1"/>
  <c r="E157" i="2" s="1"/>
  <c r="B158" i="2"/>
  <c r="F157" i="2"/>
  <c r="H157" i="2" l="1"/>
  <c r="C158" i="2" s="1"/>
  <c r="D158" i="2" s="1"/>
  <c r="E158" i="2" s="1"/>
  <c r="F158" i="2"/>
  <c r="B159" i="2"/>
  <c r="H158" i="2" l="1"/>
  <c r="C159" i="2" s="1"/>
  <c r="D159" i="2" s="1"/>
  <c r="B160" i="2"/>
  <c r="F159" i="2"/>
  <c r="E159" i="2" l="1"/>
  <c r="H159" i="2" s="1"/>
  <c r="C160" i="2" s="1"/>
  <c r="D160" i="2" s="1"/>
  <c r="E160" i="2" s="1"/>
  <c r="F160" i="2"/>
  <c r="B161" i="2"/>
  <c r="H160" i="2" l="1"/>
  <c r="C161" i="2" s="1"/>
  <c r="D161" i="2" s="1"/>
  <c r="E161" i="2" s="1"/>
  <c r="B162" i="2"/>
  <c r="F161" i="2"/>
  <c r="H161" i="2" l="1"/>
  <c r="C162" i="2" s="1"/>
  <c r="D162" i="2" s="1"/>
  <c r="E162" i="2" s="1"/>
  <c r="F162" i="2"/>
  <c r="B163" i="2"/>
  <c r="H162" i="2" l="1"/>
  <c r="C163" i="2" s="1"/>
  <c r="D163" i="2" s="1"/>
  <c r="E163" i="2" s="1"/>
  <c r="B164" i="2"/>
  <c r="F163" i="2"/>
  <c r="H163" i="2" l="1"/>
  <c r="C164" i="2" s="1"/>
  <c r="D164" i="2" s="1"/>
  <c r="E164" i="2" s="1"/>
  <c r="F164" i="2"/>
  <c r="B165" i="2"/>
  <c r="H164" i="2" l="1"/>
  <c r="C165" i="2" s="1"/>
  <c r="D165" i="2" s="1"/>
  <c r="E165" i="2" s="1"/>
  <c r="B166" i="2"/>
  <c r="F165" i="2"/>
  <c r="H165" i="2" l="1"/>
  <c r="C166" i="2" s="1"/>
  <c r="D166" i="2" s="1"/>
  <c r="E166" i="2" s="1"/>
  <c r="B167" i="2"/>
  <c r="F166" i="2"/>
  <c r="H166" i="2" l="1"/>
  <c r="C167" i="2" s="1"/>
  <c r="D167" i="2" s="1"/>
  <c r="E167" i="2" s="1"/>
  <c r="F167" i="2"/>
  <c r="B168" i="2"/>
  <c r="H167" i="2" l="1"/>
  <c r="C168" i="2" s="1"/>
  <c r="D168" i="2" s="1"/>
  <c r="E168" i="2" s="1"/>
  <c r="F168" i="2"/>
  <c r="B169" i="2"/>
  <c r="H168" i="2" l="1"/>
  <c r="C169" i="2" s="1"/>
  <c r="D169" i="2" s="1"/>
  <c r="E169" i="2" s="1"/>
  <c r="F169" i="2"/>
  <c r="B170" i="2"/>
  <c r="H169" i="2" l="1"/>
  <c r="C170" i="2" s="1"/>
  <c r="D170" i="2" s="1"/>
  <c r="E170" i="2" s="1"/>
  <c r="B171" i="2"/>
  <c r="F170" i="2"/>
  <c r="H170" i="2" l="1"/>
  <c r="C171" i="2" s="1"/>
  <c r="D171" i="2" s="1"/>
  <c r="E171" i="2" s="1"/>
  <c r="B172" i="2"/>
  <c r="F171" i="2"/>
  <c r="H171" i="2" l="1"/>
  <c r="C172" i="2" s="1"/>
  <c r="F172" i="2"/>
  <c r="B173" i="2"/>
  <c r="D172" i="2" l="1"/>
  <c r="E172" i="2" s="1"/>
  <c r="H172" i="2" s="1"/>
  <c r="C173" i="2" s="1"/>
  <c r="D173" i="2" s="1"/>
  <c r="E173" i="2" s="1"/>
  <c r="F173" i="2"/>
  <c r="B174" i="2"/>
  <c r="H173" i="2" l="1"/>
  <c r="C174" i="2" s="1"/>
  <c r="D174" i="2" s="1"/>
  <c r="E174" i="2" s="1"/>
  <c r="F174" i="2"/>
  <c r="B175" i="2"/>
  <c r="H174" i="2" l="1"/>
  <c r="C175" i="2" s="1"/>
  <c r="D175" i="2" s="1"/>
  <c r="E175" i="2" s="1"/>
  <c r="B176" i="2"/>
  <c r="F175" i="2"/>
  <c r="H175" i="2" l="1"/>
  <c r="C176" i="2" s="1"/>
  <c r="D176" i="2" s="1"/>
  <c r="E176" i="2" s="1"/>
  <c r="F176" i="2"/>
  <c r="B177" i="2"/>
  <c r="H176" i="2" l="1"/>
  <c r="C177" i="2" s="1"/>
  <c r="D177" i="2" s="1"/>
  <c r="E177" i="2" s="1"/>
  <c r="F177" i="2"/>
  <c r="B178" i="2"/>
  <c r="H177" i="2" l="1"/>
  <c r="C178" i="2" s="1"/>
  <c r="D178" i="2" s="1"/>
  <c r="E178" i="2" s="1"/>
  <c r="B179" i="2"/>
  <c r="F178" i="2"/>
  <c r="H178" i="2" l="1"/>
  <c r="C179" i="2" s="1"/>
  <c r="D179" i="2" s="1"/>
  <c r="E179" i="2" s="1"/>
  <c r="B180" i="2"/>
  <c r="F179" i="2"/>
  <c r="H179" i="2" l="1"/>
  <c r="C180" i="2" s="1"/>
  <c r="D180" i="2" s="1"/>
  <c r="E180" i="2" s="1"/>
  <c r="F180" i="2"/>
  <c r="B181" i="2"/>
  <c r="H180" i="2" l="1"/>
  <c r="C181" i="2" s="1"/>
  <c r="D181" i="2" s="1"/>
  <c r="E181" i="2" s="1"/>
  <c r="B182" i="2"/>
  <c r="F181" i="2"/>
  <c r="H181" i="2" l="1"/>
  <c r="C182" i="2" s="1"/>
  <c r="D182" i="2" s="1"/>
  <c r="E182" i="2" s="1"/>
  <c r="F182" i="2"/>
  <c r="B183" i="2"/>
  <c r="H182" i="2" l="1"/>
  <c r="C183" i="2" s="1"/>
  <c r="D183" i="2" s="1"/>
  <c r="E183" i="2" s="1"/>
  <c r="B184" i="2"/>
  <c r="F183" i="2"/>
  <c r="H183" i="2" l="1"/>
  <c r="C184" i="2" s="1"/>
  <c r="D184" i="2" s="1"/>
  <c r="E184" i="2" s="1"/>
  <c r="F184" i="2"/>
  <c r="B185" i="2"/>
  <c r="H184" i="2" l="1"/>
  <c r="C185" i="2" s="1"/>
  <c r="D185" i="2" s="1"/>
  <c r="E185" i="2" s="1"/>
  <c r="B186" i="2"/>
  <c r="F185" i="2"/>
  <c r="H185" i="2" l="1"/>
  <c r="C186" i="2" s="1"/>
  <c r="D186" i="2" s="1"/>
  <c r="E186" i="2" s="1"/>
  <c r="F186" i="2"/>
  <c r="B187" i="2"/>
  <c r="H186" i="2" l="1"/>
  <c r="C187" i="2" s="1"/>
  <c r="D187" i="2" s="1"/>
  <c r="E187" i="2" s="1"/>
  <c r="B188" i="2"/>
  <c r="F187" i="2"/>
  <c r="H187" i="2" l="1"/>
  <c r="C188" i="2" s="1"/>
  <c r="D188" i="2" s="1"/>
  <c r="E188" i="2" s="1"/>
  <c r="F188" i="2"/>
  <c r="B189" i="2"/>
  <c r="H188" i="2" l="1"/>
  <c r="C189" i="2" s="1"/>
  <c r="D189" i="2" s="1"/>
  <c r="E189" i="2" s="1"/>
  <c r="B190" i="2"/>
  <c r="F189" i="2"/>
  <c r="H189" i="2" l="1"/>
  <c r="C190" i="2" s="1"/>
  <c r="D190" i="2" s="1"/>
  <c r="E190" i="2" s="1"/>
  <c r="B191" i="2"/>
  <c r="F190" i="2"/>
  <c r="H190" i="2" l="1"/>
  <c r="C191" i="2" s="1"/>
  <c r="B192" i="2"/>
  <c r="F191" i="2"/>
  <c r="D191" i="2" l="1"/>
  <c r="E191" i="2" s="1"/>
  <c r="H191" i="2" s="1"/>
  <c r="C192" i="2" s="1"/>
  <c r="D192" i="2" s="1"/>
  <c r="E192" i="2" s="1"/>
  <c r="F192" i="2"/>
  <c r="B193" i="2"/>
  <c r="H192" i="2" l="1"/>
  <c r="C193" i="2" s="1"/>
  <c r="D193" i="2" s="1"/>
  <c r="E193" i="2" s="1"/>
  <c r="F193" i="2"/>
  <c r="B194" i="2"/>
  <c r="H193" i="2" l="1"/>
  <c r="C194" i="2" s="1"/>
  <c r="D194" i="2" s="1"/>
  <c r="E194" i="2" s="1"/>
  <c r="F194" i="2"/>
  <c r="B195" i="2"/>
  <c r="H194" i="2" l="1"/>
  <c r="C195" i="2" s="1"/>
  <c r="D195" i="2" s="1"/>
  <c r="E195" i="2" s="1"/>
  <c r="B196" i="2"/>
  <c r="F195" i="2"/>
  <c r="H195" i="2" l="1"/>
  <c r="C196" i="2" s="1"/>
  <c r="D196" i="2" s="1"/>
  <c r="E196" i="2" s="1"/>
  <c r="B197" i="2"/>
  <c r="F196" i="2"/>
  <c r="H196" i="2" l="1"/>
  <c r="C197" i="2" s="1"/>
  <c r="D197" i="2" s="1"/>
  <c r="E197" i="2" s="1"/>
  <c r="F197" i="2"/>
  <c r="B198" i="2"/>
  <c r="H197" i="2" l="1"/>
  <c r="C198" i="2" s="1"/>
  <c r="D198" i="2" s="1"/>
  <c r="E198" i="2" s="1"/>
  <c r="F198" i="2"/>
  <c r="B199" i="2"/>
  <c r="H198" i="2" l="1"/>
  <c r="C199" i="2" s="1"/>
  <c r="D199" i="2" s="1"/>
  <c r="E199" i="2" s="1"/>
  <c r="B200" i="2"/>
  <c r="F199" i="2"/>
  <c r="H199" i="2" l="1"/>
  <c r="C200" i="2" s="1"/>
  <c r="D200" i="2" s="1"/>
  <c r="E200" i="2" s="1"/>
  <c r="B201" i="2"/>
  <c r="F200" i="2"/>
  <c r="H200" i="2" l="1"/>
  <c r="C201" i="2" s="1"/>
  <c r="D201" i="2" s="1"/>
  <c r="E201" i="2" s="1"/>
  <c r="B202" i="2"/>
  <c r="F201" i="2"/>
  <c r="H201" i="2" l="1"/>
  <c r="C202" i="2" s="1"/>
  <c r="D202" i="2" s="1"/>
  <c r="E202" i="2" s="1"/>
  <c r="B203" i="2"/>
  <c r="F202" i="2"/>
  <c r="H202" i="2" l="1"/>
  <c r="C203" i="2" s="1"/>
  <c r="D203" i="2" s="1"/>
  <c r="E203" i="2" s="1"/>
  <c r="F203" i="2"/>
  <c r="B204" i="2"/>
  <c r="H203" i="2" l="1"/>
  <c r="C204" i="2" s="1"/>
  <c r="D204" i="2" s="1"/>
  <c r="E204" i="2" s="1"/>
  <c r="F204" i="2"/>
  <c r="B205" i="2"/>
  <c r="H204" i="2" l="1"/>
  <c r="C205" i="2" s="1"/>
  <c r="D205" i="2" s="1"/>
  <c r="E205" i="2" s="1"/>
  <c r="F205" i="2"/>
  <c r="B206" i="2"/>
  <c r="H205" i="2" l="1"/>
  <c r="C206" i="2" s="1"/>
  <c r="D206" i="2" s="1"/>
  <c r="E206" i="2" s="1"/>
  <c r="B207" i="2"/>
  <c r="F206" i="2"/>
  <c r="H206" i="2" l="1"/>
  <c r="C207" i="2" s="1"/>
  <c r="D207" i="2" s="1"/>
  <c r="E207" i="2" s="1"/>
  <c r="B208" i="2"/>
  <c r="F207" i="2"/>
  <c r="H207" i="2" l="1"/>
  <c r="C208" i="2" s="1"/>
  <c r="D208" i="2" s="1"/>
  <c r="E208" i="2" s="1"/>
  <c r="B209" i="2"/>
  <c r="F208" i="2"/>
  <c r="H208" i="2" l="1"/>
  <c r="C209" i="2" s="1"/>
  <c r="D209" i="2" s="1"/>
  <c r="E209" i="2" s="1"/>
  <c r="B210" i="2"/>
  <c r="F209" i="2"/>
  <c r="H209" i="2" l="1"/>
  <c r="C210" i="2" s="1"/>
  <c r="D210" i="2" s="1"/>
  <c r="E210" i="2" s="1"/>
  <c r="F210" i="2"/>
  <c r="B211" i="2"/>
  <c r="H210" i="2" l="1"/>
  <c r="C211" i="2" s="1"/>
  <c r="D211" i="2" s="1"/>
  <c r="E211" i="2" s="1"/>
  <c r="F211" i="2"/>
  <c r="B212" i="2"/>
  <c r="H211" i="2" l="1"/>
  <c r="C212" i="2" s="1"/>
  <c r="D212" i="2" s="1"/>
  <c r="F212" i="2"/>
  <c r="B213" i="2"/>
  <c r="E212" i="2" l="1"/>
  <c r="H212" i="2" s="1"/>
  <c r="C213" i="2" s="1"/>
  <c r="D213" i="2" s="1"/>
  <c r="E213" i="2" s="1"/>
  <c r="B214" i="2"/>
  <c r="F213" i="2"/>
  <c r="H213" i="2" l="1"/>
  <c r="C214" i="2" s="1"/>
  <c r="D214" i="2" s="1"/>
  <c r="E214" i="2" s="1"/>
  <c r="B215" i="2"/>
  <c r="F214" i="2"/>
  <c r="H214" i="2" l="1"/>
  <c r="C215" i="2" s="1"/>
  <c r="D215" i="2" s="1"/>
  <c r="E215" i="2" s="1"/>
  <c r="F215" i="2"/>
  <c r="B216" i="2"/>
  <c r="H215" i="2" l="1"/>
  <c r="C216" i="2" s="1"/>
  <c r="D216" i="2" s="1"/>
  <c r="E216" i="2" s="1"/>
  <c r="F216" i="2"/>
  <c r="B217" i="2"/>
  <c r="H216" i="2" l="1"/>
  <c r="C217" i="2" s="1"/>
  <c r="D217" i="2" s="1"/>
  <c r="E217" i="2" s="1"/>
  <c r="F217" i="2"/>
  <c r="B218" i="2"/>
  <c r="H217" i="2" l="1"/>
  <c r="C218" i="2" s="1"/>
  <c r="D218" i="2" s="1"/>
  <c r="E218" i="2" s="1"/>
  <c r="F218" i="2"/>
  <c r="B219" i="2"/>
  <c r="H218" i="2" l="1"/>
  <c r="C219" i="2" s="1"/>
  <c r="D219" i="2" s="1"/>
  <c r="E219" i="2" s="1"/>
  <c r="F219" i="2"/>
  <c r="B220" i="2"/>
  <c r="H219" i="2" l="1"/>
  <c r="C220" i="2" s="1"/>
  <c r="D220" i="2" s="1"/>
  <c r="E220" i="2" s="1"/>
  <c r="F220" i="2"/>
  <c r="B221" i="2"/>
  <c r="H220" i="2" l="1"/>
  <c r="C221" i="2" s="1"/>
  <c r="D221" i="2" s="1"/>
  <c r="E221" i="2" s="1"/>
  <c r="F221" i="2"/>
  <c r="B222" i="2"/>
  <c r="H221" i="2" l="1"/>
  <c r="C222" i="2"/>
  <c r="D222" i="2" s="1"/>
  <c r="E222" i="2" s="1"/>
  <c r="B223" i="2"/>
  <c r="F222" i="2"/>
  <c r="H222" i="2" l="1"/>
  <c r="C223" i="2" s="1"/>
  <c r="D223" i="2" s="1"/>
  <c r="E223" i="2" s="1"/>
  <c r="B224" i="2"/>
  <c r="F223" i="2"/>
  <c r="H223" i="2" l="1"/>
  <c r="C224" i="2" s="1"/>
  <c r="D224" i="2" s="1"/>
  <c r="E224" i="2" s="1"/>
  <c r="F224" i="2"/>
  <c r="B225" i="2"/>
  <c r="H224" i="2" l="1"/>
  <c r="C225" i="2" s="1"/>
  <c r="D225" i="2" s="1"/>
  <c r="E225" i="2" s="1"/>
  <c r="B226" i="2"/>
  <c r="F225" i="2"/>
  <c r="H225" i="2" l="1"/>
  <c r="C226" i="2" s="1"/>
  <c r="D226" i="2" s="1"/>
  <c r="E226" i="2" s="1"/>
  <c r="B227" i="2"/>
  <c r="F226" i="2"/>
  <c r="H226" i="2" l="1"/>
  <c r="C227" i="2" s="1"/>
  <c r="D227" i="2" s="1"/>
  <c r="E227" i="2" s="1"/>
  <c r="B228" i="2"/>
  <c r="F227" i="2"/>
  <c r="H227" i="2" l="1"/>
  <c r="C228" i="2" s="1"/>
  <c r="D228" i="2" s="1"/>
  <c r="E228" i="2" s="1"/>
  <c r="B229" i="2"/>
  <c r="F228" i="2"/>
  <c r="H228" i="2" l="1"/>
  <c r="C229" i="2" s="1"/>
  <c r="D229" i="2" s="1"/>
  <c r="E229" i="2" s="1"/>
  <c r="B230" i="2"/>
  <c r="F229" i="2"/>
  <c r="H229" i="2" l="1"/>
  <c r="C230" i="2" s="1"/>
  <c r="D230" i="2" s="1"/>
  <c r="E230" i="2" s="1"/>
  <c r="F230" i="2"/>
  <c r="B231" i="2"/>
  <c r="H230" i="2" l="1"/>
  <c r="C231" i="2" s="1"/>
  <c r="D231" i="2" s="1"/>
  <c r="E231" i="2" s="1"/>
  <c r="B232" i="2"/>
  <c r="F231" i="2"/>
  <c r="H231" i="2" l="1"/>
  <c r="C232" i="2" s="1"/>
  <c r="D232" i="2" s="1"/>
  <c r="E232" i="2" s="1"/>
  <c r="F232" i="2"/>
  <c r="B233" i="2"/>
  <c r="H232" i="2" l="1"/>
  <c r="C233" i="2" s="1"/>
  <c r="D233" i="2" s="1"/>
  <c r="E233" i="2" s="1"/>
  <c r="B234" i="2"/>
  <c r="F233" i="2"/>
  <c r="H233" i="2" l="1"/>
  <c r="C234" i="2" s="1"/>
  <c r="D234" i="2" s="1"/>
  <c r="E234" i="2" s="1"/>
  <c r="F234" i="2"/>
  <c r="B235" i="2"/>
  <c r="H234" i="2" l="1"/>
  <c r="C235" i="2" s="1"/>
  <c r="D235" i="2" s="1"/>
  <c r="E235" i="2" s="1"/>
  <c r="B236" i="2"/>
  <c r="F235" i="2"/>
  <c r="H235" i="2" l="1"/>
  <c r="C236" i="2" s="1"/>
  <c r="D236" i="2" s="1"/>
  <c r="E236" i="2" s="1"/>
  <c r="F236" i="2"/>
  <c r="B237" i="2"/>
  <c r="H236" i="2" l="1"/>
  <c r="C237" i="2" s="1"/>
  <c r="D237" i="2" s="1"/>
  <c r="E237" i="2" s="1"/>
  <c r="B238" i="2"/>
  <c r="F237" i="2"/>
  <c r="H237" i="2" l="1"/>
  <c r="C238" i="2"/>
  <c r="D238" i="2" s="1"/>
  <c r="E238" i="2" s="1"/>
  <c r="B239" i="2"/>
  <c r="F238" i="2"/>
  <c r="H238" i="2" l="1"/>
  <c r="C239" i="2" s="1"/>
  <c r="D239" i="2" s="1"/>
  <c r="E239" i="2" s="1"/>
  <c r="F239" i="2"/>
  <c r="B240" i="2"/>
  <c r="H239" i="2" l="1"/>
  <c r="C240" i="2" s="1"/>
  <c r="D240" i="2" s="1"/>
  <c r="E240" i="2" s="1"/>
  <c r="B241" i="2"/>
  <c r="F240" i="2"/>
  <c r="H240" i="2" l="1"/>
  <c r="C241" i="2" s="1"/>
  <c r="D241" i="2" s="1"/>
  <c r="E241" i="2" s="1"/>
  <c r="B242" i="2"/>
  <c r="F241" i="2"/>
  <c r="H241" i="2" l="1"/>
  <c r="C242" i="2" s="1"/>
  <c r="D242" i="2" s="1"/>
  <c r="F242" i="2"/>
  <c r="B243" i="2"/>
  <c r="E242" i="2" l="1"/>
  <c r="H242" i="2" s="1"/>
  <c r="C243" i="2" s="1"/>
  <c r="D243" i="2" s="1"/>
  <c r="E243" i="2" s="1"/>
  <c r="F243" i="2"/>
  <c r="B244" i="2"/>
  <c r="H243" i="2" l="1"/>
  <c r="C244" i="2" s="1"/>
  <c r="D244" i="2" s="1"/>
  <c r="E244" i="2" s="1"/>
  <c r="F244" i="2"/>
  <c r="B245" i="2"/>
  <c r="H244" i="2" l="1"/>
  <c r="C245" i="2" s="1"/>
  <c r="D245" i="2" s="1"/>
  <c r="E245" i="2" s="1"/>
  <c r="B246" i="2"/>
  <c r="F245" i="2"/>
  <c r="H245" i="2" l="1"/>
  <c r="C246" i="2" s="1"/>
  <c r="D246" i="2" s="1"/>
  <c r="E246" i="2" s="1"/>
  <c r="F246" i="2"/>
  <c r="B247" i="2"/>
  <c r="H246" i="2" l="1"/>
  <c r="C247" i="2" s="1"/>
  <c r="D247" i="2" s="1"/>
  <c r="E247" i="2" s="1"/>
  <c r="F247" i="2"/>
  <c r="B248" i="2"/>
  <c r="H247" i="2" l="1"/>
  <c r="C248" i="2" s="1"/>
  <c r="F248" i="2"/>
  <c r="B249" i="2"/>
  <c r="D248" i="2" l="1"/>
  <c r="E248" i="2" s="1"/>
  <c r="H248" i="2" s="1"/>
  <c r="C249" i="2" s="1"/>
  <c r="F249" i="2"/>
  <c r="B250" i="2"/>
  <c r="D249" i="2" l="1"/>
  <c r="E249" i="2" s="1"/>
  <c r="H249" i="2" s="1"/>
  <c r="C250" i="2" s="1"/>
  <c r="D250" i="2" s="1"/>
  <c r="E250" i="2" s="1"/>
  <c r="B251" i="2"/>
  <c r="F250" i="2"/>
  <c r="H250" i="2" l="1"/>
  <c r="F251" i="2"/>
  <c r="C251" i="2"/>
  <c r="B252" i="2"/>
  <c r="D251" i="2" l="1"/>
  <c r="E251" i="2" s="1"/>
  <c r="H251" i="2" s="1"/>
  <c r="C252" i="2" s="1"/>
  <c r="F252" i="2"/>
  <c r="B253" i="2"/>
  <c r="D252" i="2" l="1"/>
  <c r="E252" i="2" s="1"/>
  <c r="H252" i="2" s="1"/>
  <c r="C253" i="2" s="1"/>
  <c r="B254" i="2"/>
  <c r="F253" i="2"/>
  <c r="D253" i="2" l="1"/>
  <c r="E253" i="2" s="1"/>
  <c r="H253" i="2" s="1"/>
  <c r="C254" i="2" s="1"/>
  <c r="B255" i="2"/>
  <c r="F254" i="2"/>
  <c r="D254" i="2" l="1"/>
  <c r="E254" i="2" s="1"/>
  <c r="H254" i="2" s="1"/>
  <c r="C255" i="2" s="1"/>
  <c r="B256" i="2"/>
  <c r="F255" i="2"/>
  <c r="D255" i="2" l="1"/>
  <c r="E255" i="2" s="1"/>
  <c r="H255" i="2" s="1"/>
  <c r="C256" i="2" s="1"/>
  <c r="B257" i="2"/>
  <c r="F256" i="2"/>
  <c r="D256" i="2" l="1"/>
  <c r="E256" i="2" s="1"/>
  <c r="H256" i="2" s="1"/>
  <c r="C257" i="2" s="1"/>
  <c r="B258" i="2"/>
  <c r="F257" i="2"/>
  <c r="D257" i="2" l="1"/>
  <c r="E257" i="2" s="1"/>
  <c r="H257" i="2" s="1"/>
  <c r="C258" i="2" s="1"/>
  <c r="B259" i="2"/>
  <c r="F258" i="2"/>
  <c r="D258" i="2" l="1"/>
  <c r="E258" i="2" s="1"/>
  <c r="H258" i="2" s="1"/>
  <c r="C259" i="2" s="1"/>
  <c r="B260" i="2"/>
  <c r="F259" i="2"/>
  <c r="D259" i="2" l="1"/>
  <c r="E259" i="2" s="1"/>
  <c r="H259" i="2" s="1"/>
  <c r="C260" i="2" s="1"/>
  <c r="F260" i="2"/>
  <c r="B261" i="2"/>
  <c r="D260" i="2" l="1"/>
  <c r="E260" i="2" s="1"/>
  <c r="H260" i="2" s="1"/>
  <c r="C261" i="2" s="1"/>
  <c r="B262" i="2"/>
  <c r="F261" i="2"/>
  <c r="D261" i="2" l="1"/>
  <c r="E261" i="2" s="1"/>
  <c r="H261" i="2" s="1"/>
  <c r="C262" i="2" s="1"/>
  <c r="B263" i="2"/>
  <c r="F262" i="2"/>
  <c r="D262" i="2" l="1"/>
  <c r="E262" i="2" s="1"/>
  <c r="H262" i="2" s="1"/>
  <c r="C263" i="2" s="1"/>
  <c r="F263" i="2"/>
  <c r="B264" i="2"/>
  <c r="D263" i="2" l="1"/>
  <c r="E263" i="2" s="1"/>
  <c r="H263" i="2" s="1"/>
  <c r="C264" i="2" s="1"/>
  <c r="F264" i="2"/>
  <c r="B265" i="2"/>
  <c r="D264" i="2" l="1"/>
  <c r="E264" i="2" s="1"/>
  <c r="H264" i="2" s="1"/>
  <c r="C265" i="2" s="1"/>
  <c r="B266" i="2"/>
  <c r="F265" i="2"/>
  <c r="D265" i="2" l="1"/>
  <c r="E265" i="2" s="1"/>
  <c r="H265" i="2" s="1"/>
  <c r="C266" i="2" s="1"/>
  <c r="B267" i="2"/>
  <c r="F266" i="2"/>
  <c r="D266" i="2" l="1"/>
  <c r="E266" i="2" s="1"/>
  <c r="H266" i="2" s="1"/>
  <c r="C267" i="2" s="1"/>
  <c r="B268" i="2"/>
  <c r="F267" i="2"/>
  <c r="D267" i="2" l="1"/>
  <c r="E267" i="2" s="1"/>
  <c r="H267" i="2" s="1"/>
  <c r="C268" i="2" s="1"/>
  <c r="B269" i="2"/>
  <c r="F268" i="2"/>
  <c r="D268" i="2" l="1"/>
  <c r="E268" i="2" s="1"/>
  <c r="H268" i="2" s="1"/>
  <c r="C269" i="2" s="1"/>
  <c r="B270" i="2"/>
  <c r="F269" i="2"/>
  <c r="D269" i="2" l="1"/>
  <c r="E269" i="2" s="1"/>
  <c r="H269" i="2" s="1"/>
  <c r="C270" i="2" s="1"/>
  <c r="B271" i="2"/>
  <c r="F270" i="2"/>
  <c r="D270" i="2" l="1"/>
  <c r="E270" i="2" s="1"/>
  <c r="H270" i="2" s="1"/>
  <c r="C271" i="2" s="1"/>
  <c r="B272" i="2"/>
  <c r="F271" i="2"/>
  <c r="D271" i="2" l="1"/>
  <c r="E271" i="2" s="1"/>
  <c r="H271" i="2" s="1"/>
  <c r="C272" i="2" s="1"/>
  <c r="B273" i="2"/>
  <c r="F272" i="2"/>
  <c r="D272" i="2" l="1"/>
  <c r="E272" i="2" s="1"/>
  <c r="H272" i="2" s="1"/>
  <c r="C273" i="2" s="1"/>
  <c r="B274" i="2"/>
  <c r="F273" i="2"/>
  <c r="D273" i="2" l="1"/>
  <c r="E273" i="2" s="1"/>
  <c r="H273" i="2" s="1"/>
  <c r="C274" i="2" s="1"/>
  <c r="B275" i="2"/>
  <c r="F274" i="2"/>
  <c r="D274" i="2" l="1"/>
  <c r="E274" i="2" s="1"/>
  <c r="H274" i="2" s="1"/>
  <c r="C275" i="2" s="1"/>
  <c r="B276" i="2"/>
  <c r="F275" i="2"/>
  <c r="D275" i="2" l="1"/>
  <c r="E275" i="2"/>
  <c r="H275" i="2" s="1"/>
  <c r="C276" i="2" s="1"/>
  <c r="F276" i="2"/>
  <c r="B277" i="2"/>
  <c r="D276" i="2" l="1"/>
  <c r="E276" i="2" s="1"/>
  <c r="H276" i="2" s="1"/>
  <c r="C277" i="2" s="1"/>
  <c r="F277" i="2"/>
  <c r="B278" i="2"/>
  <c r="D277" i="2" l="1"/>
  <c r="E277" i="2" s="1"/>
  <c r="H277" i="2" s="1"/>
  <c r="C278" i="2" s="1"/>
  <c r="F278" i="2"/>
  <c r="B279" i="2"/>
  <c r="D278" i="2" l="1"/>
  <c r="E278" i="2" s="1"/>
  <c r="H278" i="2" s="1"/>
  <c r="C279" i="2" s="1"/>
  <c r="F279" i="2"/>
  <c r="B280" i="2"/>
  <c r="D279" i="2" l="1"/>
  <c r="E279" i="2" s="1"/>
  <c r="H279" i="2" s="1"/>
  <c r="C280" i="2" s="1"/>
  <c r="B281" i="2"/>
  <c r="F280" i="2"/>
  <c r="D280" i="2" l="1"/>
  <c r="E280" i="2" s="1"/>
  <c r="H280" i="2" s="1"/>
  <c r="C281" i="2" s="1"/>
  <c r="F281" i="2"/>
  <c r="B282" i="2"/>
  <c r="D281" i="2" l="1"/>
  <c r="E281" i="2" s="1"/>
  <c r="H281" i="2" s="1"/>
  <c r="C282" i="2" s="1"/>
  <c r="B283" i="2"/>
  <c r="F282" i="2"/>
  <c r="D282" i="2" l="1"/>
  <c r="E282" i="2" s="1"/>
  <c r="H282" i="2" s="1"/>
  <c r="C283" i="2" s="1"/>
  <c r="F283" i="2"/>
  <c r="B284" i="2"/>
  <c r="D283" i="2" l="1"/>
  <c r="E283" i="2" s="1"/>
  <c r="H283" i="2" s="1"/>
  <c r="C284" i="2" s="1"/>
  <c r="D284" i="2" s="1"/>
  <c r="E284" i="2" s="1"/>
  <c r="H284" i="2" s="1"/>
  <c r="B285" i="2"/>
  <c r="F284" i="2"/>
  <c r="C285" i="2" l="1"/>
  <c r="D285" i="2" s="1"/>
  <c r="E285" i="2" s="1"/>
  <c r="B286" i="2"/>
  <c r="F285" i="2"/>
  <c r="H285" i="2" l="1"/>
  <c r="C286" i="2"/>
  <c r="D286" i="2"/>
  <c r="E286" i="2" s="1"/>
  <c r="F286" i="2"/>
  <c r="B287" i="2"/>
  <c r="H286" i="2" l="1"/>
  <c r="C287" i="2"/>
  <c r="D287" i="2" s="1"/>
  <c r="E287" i="2" s="1"/>
  <c r="H287" i="2" s="1"/>
  <c r="F287" i="2"/>
  <c r="B288" i="2"/>
  <c r="C288" i="2" l="1"/>
  <c r="F288" i="2"/>
  <c r="B289" i="2"/>
  <c r="D288" i="2"/>
  <c r="E288" i="2" s="1"/>
  <c r="H288" i="2" s="1"/>
  <c r="F289" i="2" l="1"/>
  <c r="C289" i="2"/>
  <c r="D289" i="2" s="1"/>
  <c r="B290" i="2"/>
  <c r="E289" i="2" l="1"/>
  <c r="H289" i="2" s="1"/>
  <c r="C290" i="2" s="1"/>
  <c r="D290" i="2" s="1"/>
  <c r="E290" i="2" s="1"/>
  <c r="H290" i="2" s="1"/>
  <c r="F290" i="2"/>
  <c r="B291" i="2"/>
  <c r="C291" i="2" l="1"/>
  <c r="D291" i="2" s="1"/>
  <c r="B292" i="2"/>
  <c r="F291" i="2"/>
  <c r="E291" i="2" l="1"/>
  <c r="H291" i="2" s="1"/>
  <c r="C292" i="2" s="1"/>
  <c r="D292" i="2" s="1"/>
  <c r="E292" i="2" s="1"/>
  <c r="H292" i="2" s="1"/>
  <c r="F292" i="2"/>
  <c r="B293" i="2"/>
  <c r="C293" i="2" l="1"/>
  <c r="F293" i="2"/>
  <c r="B294" i="2"/>
  <c r="D293" i="2"/>
  <c r="E293" i="2" s="1"/>
  <c r="H293" i="2" s="1"/>
  <c r="C294" i="2" l="1"/>
  <c r="D294" i="2" s="1"/>
  <c r="E294" i="2" s="1"/>
  <c r="H294" i="2" s="1"/>
  <c r="F294" i="2"/>
  <c r="B295" i="2"/>
  <c r="C295" i="2" l="1"/>
  <c r="D295" i="2" s="1"/>
  <c r="E295" i="2" s="1"/>
  <c r="H295" i="2" s="1"/>
  <c r="F295" i="2"/>
  <c r="B296" i="2"/>
  <c r="C296" i="2" l="1"/>
  <c r="D296" i="2" s="1"/>
  <c r="E296" i="2" s="1"/>
  <c r="H296" i="2" s="1"/>
  <c r="F296" i="2"/>
  <c r="B297" i="2"/>
  <c r="C297" i="2" l="1"/>
  <c r="D297" i="2" s="1"/>
  <c r="E297" i="2" s="1"/>
  <c r="H297" i="2" s="1"/>
  <c r="F297" i="2"/>
  <c r="B298" i="2"/>
  <c r="C298" i="2" l="1"/>
  <c r="D298" i="2" s="1"/>
  <c r="E298" i="2" s="1"/>
  <c r="H298" i="2" s="1"/>
  <c r="F298" i="2"/>
  <c r="B299" i="2"/>
  <c r="F299" i="2" l="1"/>
  <c r="B300" i="2"/>
  <c r="C299" i="2"/>
  <c r="D299" i="2" s="1"/>
  <c r="E299" i="2" s="1"/>
  <c r="H299" i="2" s="1"/>
  <c r="C300" i="2" l="1"/>
  <c r="D300" i="2" s="1"/>
  <c r="F300" i="2"/>
  <c r="B301" i="2"/>
  <c r="E300" i="2" l="1"/>
  <c r="H300" i="2" s="1"/>
  <c r="C301" i="2" s="1"/>
  <c r="D301" i="2" s="1"/>
  <c r="E301" i="2" s="1"/>
  <c r="H301" i="2" s="1"/>
  <c r="F301" i="2"/>
  <c r="B302" i="2"/>
  <c r="C302" i="2" l="1"/>
  <c r="D302" i="2" s="1"/>
  <c r="E302" i="2" s="1"/>
  <c r="F302" i="2"/>
  <c r="B303" i="2"/>
  <c r="H302" i="2" l="1"/>
  <c r="C303" i="2"/>
  <c r="D303" i="2" s="1"/>
  <c r="E303" i="2" s="1"/>
  <c r="H303" i="2" s="1"/>
  <c r="F303" i="2"/>
  <c r="B304" i="2"/>
  <c r="C304" i="2" l="1"/>
  <c r="D304" i="2" s="1"/>
  <c r="B305" i="2"/>
  <c r="F304" i="2"/>
  <c r="E304" i="2" l="1"/>
  <c r="H304" i="2" s="1"/>
  <c r="C305" i="2" s="1"/>
  <c r="F305" i="2"/>
  <c r="B306" i="2"/>
  <c r="D305" i="2" l="1"/>
  <c r="E305" i="2" s="1"/>
  <c r="H305" i="2" s="1"/>
  <c r="C306" i="2" s="1"/>
  <c r="D306" i="2" s="1"/>
  <c r="E306" i="2" s="1"/>
  <c r="H306" i="2" s="1"/>
  <c r="F306" i="2"/>
  <c r="B307" i="2"/>
  <c r="F307" i="2" l="1"/>
  <c r="B308" i="2"/>
  <c r="C307" i="2"/>
  <c r="D307" i="2" l="1"/>
  <c r="E307" i="2" s="1"/>
  <c r="H307" i="2" s="1"/>
  <c r="C308" i="2" s="1"/>
  <c r="F308" i="2"/>
  <c r="B309" i="2"/>
  <c r="D308" i="2" l="1"/>
  <c r="E308" i="2" s="1"/>
  <c r="H308" i="2" s="1"/>
  <c r="C309" i="2" s="1"/>
  <c r="B310" i="2"/>
  <c r="F309" i="2"/>
  <c r="D309" i="2" l="1"/>
  <c r="E309" i="2" s="1"/>
  <c r="H309" i="2" s="1"/>
  <c r="C310" i="2" s="1"/>
  <c r="D310" i="2" s="1"/>
  <c r="E310" i="2" s="1"/>
  <c r="H310" i="2" s="1"/>
  <c r="F310" i="2"/>
  <c r="B311" i="2"/>
  <c r="C311" i="2" l="1"/>
  <c r="D311" i="2" s="1"/>
  <c r="E311" i="2" s="1"/>
  <c r="H311" i="2" s="1"/>
  <c r="F311" i="2"/>
  <c r="B312" i="2"/>
  <c r="F312" i="2" l="1"/>
  <c r="B313" i="2"/>
  <c r="C312" i="2"/>
  <c r="D312" i="2" s="1"/>
  <c r="E312" i="2" l="1"/>
  <c r="H312" i="2" s="1"/>
  <c r="C313" i="2" s="1"/>
  <c r="F313" i="2"/>
  <c r="B314" i="2"/>
  <c r="D313" i="2" l="1"/>
  <c r="E313" i="2" s="1"/>
  <c r="H313" i="2" s="1"/>
  <c r="C314" i="2" s="1"/>
  <c r="F314" i="2"/>
  <c r="B315" i="2"/>
  <c r="D314" i="2" l="1"/>
  <c r="E314" i="2" s="1"/>
  <c r="H314" i="2" s="1"/>
  <c r="C315" i="2" s="1"/>
  <c r="B316" i="2"/>
  <c r="F315" i="2"/>
  <c r="D315" i="2" l="1"/>
  <c r="E315" i="2" s="1"/>
  <c r="H315" i="2" s="1"/>
  <c r="C316" i="2" s="1"/>
  <c r="B317" i="2"/>
  <c r="F316" i="2"/>
  <c r="D316" i="2" l="1"/>
  <c r="E316" i="2" s="1"/>
  <c r="H316" i="2" s="1"/>
  <c r="C317" i="2" s="1"/>
  <c r="D317" i="2" s="1"/>
  <c r="E317" i="2" s="1"/>
  <c r="H317" i="2" s="1"/>
  <c r="F317" i="2"/>
  <c r="B318" i="2"/>
  <c r="C318" i="2" l="1"/>
  <c r="F318" i="2"/>
  <c r="B319" i="2"/>
  <c r="D318" i="2"/>
  <c r="E318" i="2" s="1"/>
  <c r="H318" i="2" s="1"/>
  <c r="C319" i="2" l="1"/>
  <c r="D319" i="2" s="1"/>
  <c r="E319" i="2" s="1"/>
  <c r="B320" i="2"/>
  <c r="F319" i="2"/>
  <c r="H319" i="2" l="1"/>
  <c r="C320" i="2"/>
  <c r="D320" i="2" s="1"/>
  <c r="E320" i="2" s="1"/>
  <c r="H320" i="2" s="1"/>
  <c r="B321" i="2"/>
  <c r="F320" i="2"/>
  <c r="C321" i="2" l="1"/>
  <c r="D321" i="2" s="1"/>
  <c r="F321" i="2"/>
  <c r="B322" i="2"/>
  <c r="E321" i="2" l="1"/>
  <c r="H321" i="2" s="1"/>
  <c r="C322" i="2" s="1"/>
  <c r="D322" i="2" s="1"/>
  <c r="E322" i="2" s="1"/>
  <c r="B323" i="2"/>
  <c r="F322" i="2"/>
  <c r="H322" i="2" l="1"/>
  <c r="C323" i="2"/>
  <c r="D323" i="2" s="1"/>
  <c r="F323" i="2"/>
  <c r="B324" i="2"/>
  <c r="E323" i="2" l="1"/>
  <c r="H323" i="2" s="1"/>
  <c r="C324" i="2" s="1"/>
  <c r="D324" i="2" s="1"/>
  <c r="E324" i="2" s="1"/>
  <c r="H324" i="2" s="1"/>
  <c r="F324" i="2"/>
  <c r="B325" i="2"/>
  <c r="C325" i="2" l="1"/>
  <c r="F325" i="2"/>
  <c r="B326" i="2"/>
  <c r="D325" i="2"/>
  <c r="E325" i="2" s="1"/>
  <c r="H325" i="2" s="1"/>
  <c r="C326" i="2" l="1"/>
  <c r="D326" i="2" s="1"/>
  <c r="E326" i="2" s="1"/>
  <c r="H326" i="2" s="1"/>
  <c r="F326" i="2"/>
  <c r="B327" i="2"/>
  <c r="C327" i="2" l="1"/>
  <c r="F327" i="2"/>
  <c r="B328" i="2"/>
  <c r="D327" i="2"/>
  <c r="E327" i="2" s="1"/>
  <c r="H327" i="2" s="1"/>
  <c r="C328" i="2" l="1"/>
  <c r="F328" i="2"/>
  <c r="B329" i="2"/>
  <c r="D328" i="2"/>
  <c r="E328" i="2" s="1"/>
  <c r="H328" i="2" s="1"/>
  <c r="C329" i="2" l="1"/>
  <c r="F329" i="2"/>
  <c r="B330" i="2"/>
  <c r="D329" i="2"/>
  <c r="E329" i="2" s="1"/>
  <c r="H329" i="2" s="1"/>
  <c r="C330" i="2" l="1"/>
  <c r="F330" i="2"/>
  <c r="B331" i="2"/>
  <c r="D330" i="2"/>
  <c r="E330" i="2" s="1"/>
  <c r="H330" i="2" s="1"/>
  <c r="C331" i="2" l="1"/>
  <c r="D331" i="2" s="1"/>
  <c r="E331" i="2" s="1"/>
  <c r="H331" i="2" s="1"/>
  <c r="B332" i="2"/>
  <c r="F331" i="2"/>
  <c r="C332" i="2" l="1"/>
  <c r="B333" i="2"/>
  <c r="F332" i="2"/>
  <c r="D332" i="2" l="1"/>
  <c r="E332" i="2" s="1"/>
  <c r="H332" i="2" s="1"/>
  <c r="C333" i="2" s="1"/>
  <c r="D333" i="2" s="1"/>
  <c r="E333" i="2" s="1"/>
  <c r="H333" i="2" s="1"/>
  <c r="B334" i="2"/>
  <c r="F333" i="2"/>
  <c r="C334" i="2" l="1"/>
  <c r="F334" i="2"/>
  <c r="B335" i="2"/>
  <c r="D334" i="2"/>
  <c r="E334" i="2" s="1"/>
  <c r="H334" i="2" s="1"/>
  <c r="C335" i="2" l="1"/>
  <c r="D335" i="2" s="1"/>
  <c r="E335" i="2" s="1"/>
  <c r="B336" i="2"/>
  <c r="F335" i="2"/>
  <c r="H335" i="2" l="1"/>
  <c r="C336" i="2"/>
  <c r="D336" i="2" s="1"/>
  <c r="E336" i="2" s="1"/>
  <c r="H336" i="2" s="1"/>
  <c r="F336" i="2"/>
  <c r="B337" i="2"/>
  <c r="F337" i="2" l="1"/>
  <c r="B338" i="2"/>
  <c r="C337" i="2"/>
  <c r="D337" i="2" s="1"/>
  <c r="E337" i="2" s="1"/>
  <c r="H337" i="2" l="1"/>
  <c r="C338" i="2" s="1"/>
  <c r="B339" i="2"/>
  <c r="F338" i="2"/>
  <c r="D338" i="2" l="1"/>
  <c r="E338" i="2" s="1"/>
  <c r="H338" i="2" s="1"/>
  <c r="C339" i="2" s="1"/>
  <c r="D339" i="2" s="1"/>
  <c r="E339" i="2" s="1"/>
  <c r="B340" i="2"/>
  <c r="F339" i="2"/>
  <c r="H339" i="2" l="1"/>
  <c r="B341" i="2"/>
  <c r="F340" i="2"/>
  <c r="C340" i="2"/>
  <c r="D340" i="2" s="1"/>
  <c r="E340" i="2" s="1"/>
  <c r="H340" i="2" s="1"/>
  <c r="C341" i="2" l="1"/>
  <c r="D341" i="2" s="1"/>
  <c r="E341" i="2" s="1"/>
  <c r="H341" i="2" s="1"/>
  <c r="F341" i="2"/>
  <c r="B342" i="2"/>
  <c r="C342" i="2" l="1"/>
  <c r="D342" i="2" s="1"/>
  <c r="B343" i="2"/>
  <c r="F342" i="2"/>
  <c r="E342" i="2" l="1"/>
  <c r="H342" i="2" s="1"/>
  <c r="C343" i="2" s="1"/>
  <c r="F343" i="2"/>
  <c r="B344" i="2"/>
  <c r="D343" i="2" l="1"/>
  <c r="E343" i="2" s="1"/>
  <c r="H343" i="2" s="1"/>
  <c r="C344" i="2" s="1"/>
  <c r="B345" i="2"/>
  <c r="F344" i="2"/>
  <c r="D344" i="2" l="1"/>
  <c r="E344" i="2" s="1"/>
  <c r="H344" i="2" s="1"/>
  <c r="C345" i="2" s="1"/>
  <c r="D345" i="2" s="1"/>
  <c r="E345" i="2" s="1"/>
  <c r="H345" i="2" s="1"/>
  <c r="B346" i="2"/>
  <c r="F345" i="2"/>
  <c r="C346" i="2" l="1"/>
  <c r="D346" i="2" s="1"/>
  <c r="E346" i="2" s="1"/>
  <c r="F346" i="2"/>
  <c r="B347" i="2"/>
  <c r="H346" i="2" l="1"/>
  <c r="C347" i="2"/>
  <c r="D347" i="2" s="1"/>
  <c r="E347" i="2" s="1"/>
  <c r="H347" i="2" s="1"/>
  <c r="F347" i="2"/>
  <c r="B348" i="2"/>
  <c r="C348" i="2" l="1"/>
  <c r="D348" i="2" s="1"/>
  <c r="E348" i="2" s="1"/>
  <c r="F348" i="2"/>
  <c r="B349" i="2"/>
  <c r="H348" i="2" l="1"/>
  <c r="C349" i="2" s="1"/>
  <c r="D349" i="2" s="1"/>
  <c r="E349" i="2" s="1"/>
  <c r="H349" i="2" s="1"/>
  <c r="B350" i="2"/>
  <c r="F349" i="2"/>
  <c r="C350" i="2" l="1"/>
  <c r="F350" i="2"/>
  <c r="B351" i="2"/>
  <c r="D350" i="2" l="1"/>
  <c r="E350" i="2" s="1"/>
  <c r="H350" i="2" s="1"/>
  <c r="C351" i="2" s="1"/>
  <c r="D351" i="2" s="1"/>
  <c r="E351" i="2" s="1"/>
  <c r="H351" i="2" s="1"/>
  <c r="B352" i="2"/>
  <c r="F351" i="2"/>
  <c r="C352" i="2" l="1"/>
  <c r="B353" i="2"/>
  <c r="F352" i="2"/>
  <c r="D352" i="2"/>
  <c r="E352" i="2" s="1"/>
  <c r="H352" i="2" s="1"/>
  <c r="F353" i="2" l="1"/>
  <c r="C353" i="2"/>
  <c r="B354" i="2"/>
  <c r="D353" i="2"/>
  <c r="E353" i="2" l="1"/>
  <c r="H353" i="2" s="1"/>
  <c r="C354" i="2" s="1"/>
  <c r="D354" i="2" s="1"/>
  <c r="E354" i="2" s="1"/>
  <c r="H354" i="2" s="1"/>
  <c r="F354" i="2"/>
  <c r="B355" i="2"/>
  <c r="B356" i="2" l="1"/>
  <c r="F355" i="2"/>
  <c r="C355" i="2"/>
  <c r="D355" i="2" s="1"/>
  <c r="E355" i="2" s="1"/>
  <c r="H355" i="2" s="1"/>
  <c r="B357" i="2" l="1"/>
  <c r="F356" i="2"/>
  <c r="C356" i="2"/>
  <c r="D356" i="2" s="1"/>
  <c r="E356" i="2" s="1"/>
  <c r="H356" i="2" s="1"/>
  <c r="B358" i="2" l="1"/>
  <c r="C357" i="2"/>
  <c r="D357" i="2" s="1"/>
  <c r="E357" i="2" s="1"/>
  <c r="H357" i="2" s="1"/>
  <c r="F357" i="2"/>
  <c r="C358" i="2" l="1"/>
  <c r="D358" i="2" s="1"/>
  <c r="E358" i="2" s="1"/>
  <c r="F358" i="2"/>
  <c r="B359" i="2"/>
  <c r="H358" i="2" l="1"/>
  <c r="C359" i="2"/>
  <c r="D359" i="2" s="1"/>
  <c r="E359" i="2" s="1"/>
  <c r="B360" i="2"/>
  <c r="F359" i="2"/>
  <c r="H359" i="2" l="1"/>
  <c r="C360" i="2"/>
  <c r="F360" i="2"/>
  <c r="B361" i="2"/>
  <c r="D360" i="2" l="1"/>
  <c r="E360" i="2" s="1"/>
  <c r="H360" i="2" s="1"/>
  <c r="C361" i="2" s="1"/>
  <c r="D361" i="2" s="1"/>
  <c r="E361" i="2" s="1"/>
  <c r="F361" i="2"/>
  <c r="B362" i="2"/>
  <c r="H361" i="2" l="1"/>
  <c r="C362" i="2" s="1"/>
  <c r="D362" i="2" s="1"/>
  <c r="E362" i="2" s="1"/>
  <c r="H362" i="2" s="1"/>
  <c r="F362" i="2"/>
  <c r="B363" i="2"/>
  <c r="C363" i="2" l="1"/>
  <c r="D363" i="2" s="1"/>
  <c r="B364" i="2"/>
  <c r="F363" i="2"/>
  <c r="E363" i="2"/>
  <c r="H363" i="2" s="1"/>
  <c r="C364" i="2" l="1"/>
  <c r="D364" i="2" s="1"/>
  <c r="F364" i="2"/>
  <c r="B365" i="2"/>
  <c r="E364" i="2" l="1"/>
  <c r="H364" i="2" s="1"/>
  <c r="C365" i="2" s="1"/>
  <c r="D365" i="2" s="1"/>
  <c r="E365" i="2" s="1"/>
  <c r="F365" i="2"/>
  <c r="B366" i="2"/>
  <c r="H365" i="2" l="1"/>
  <c r="C366" i="2" s="1"/>
  <c r="D366" i="2" s="1"/>
  <c r="E366" i="2" s="1"/>
  <c r="H366" i="2" s="1"/>
  <c r="F366" i="2"/>
  <c r="B367" i="2"/>
  <c r="C367" i="2" l="1"/>
  <c r="D367" i="2" s="1"/>
  <c r="B368" i="2"/>
  <c r="F367" i="2"/>
  <c r="E367" i="2" l="1"/>
  <c r="H367" i="2" s="1"/>
  <c r="C368" i="2" s="1"/>
  <c r="B369" i="2"/>
  <c r="F368" i="2"/>
  <c r="D368" i="2" l="1"/>
  <c r="E368" i="2" s="1"/>
  <c r="H368" i="2" s="1"/>
  <c r="C369" i="2" s="1"/>
  <c r="D369" i="2" s="1"/>
  <c r="E369" i="2" s="1"/>
  <c r="H369" i="2" s="1"/>
  <c r="F369" i="2"/>
  <c r="B370" i="2"/>
  <c r="C370" i="2" l="1"/>
  <c r="F370" i="2"/>
  <c r="B371" i="2"/>
  <c r="D370" i="2"/>
  <c r="E370" i="2" s="1"/>
  <c r="H370" i="2" s="1"/>
  <c r="C371" i="2" l="1"/>
  <c r="D371" i="2" s="1"/>
  <c r="E371" i="2" s="1"/>
  <c r="F371" i="2"/>
  <c r="B372" i="2"/>
  <c r="H371" i="2" l="1"/>
  <c r="C372" i="2"/>
  <c r="D372" i="2" s="1"/>
  <c r="E372" i="2" s="1"/>
  <c r="H372" i="2" s="1"/>
  <c r="F372" i="2"/>
  <c r="B373" i="2"/>
  <c r="C373" i="2" l="1"/>
  <c r="F373" i="2"/>
  <c r="B374" i="2"/>
  <c r="D373" i="2" l="1"/>
  <c r="E373" i="2" s="1"/>
  <c r="H373" i="2" s="1"/>
  <c r="C374" i="2" s="1"/>
  <c r="D374" i="2" s="1"/>
  <c r="E374" i="2" s="1"/>
  <c r="H374" i="2" s="1"/>
  <c r="F374" i="2"/>
  <c r="B375" i="2"/>
  <c r="F375" i="2" l="1"/>
  <c r="B376" i="2"/>
  <c r="C375" i="2"/>
  <c r="D375" i="2" l="1"/>
  <c r="E375" i="2" s="1"/>
  <c r="H375" i="2" s="1"/>
  <c r="C376" i="2" s="1"/>
  <c r="D376" i="2" s="1"/>
  <c r="E376" i="2" s="1"/>
  <c r="H376" i="2" s="1"/>
  <c r="F376" i="2"/>
  <c r="B377" i="2"/>
  <c r="C377" i="2" l="1"/>
  <c r="D377" i="2" s="1"/>
  <c r="B378" i="2"/>
  <c r="F377" i="2"/>
  <c r="E377" i="2" l="1"/>
  <c r="H377" i="2" s="1"/>
  <c r="C378" i="2" s="1"/>
  <c r="D378" i="2" s="1"/>
  <c r="E378" i="2" s="1"/>
  <c r="F378" i="2"/>
  <c r="B379" i="2"/>
  <c r="H378" i="2" l="1"/>
  <c r="C379" i="2"/>
  <c r="D379" i="2" s="1"/>
  <c r="B380" i="2"/>
  <c r="F379" i="2"/>
  <c r="E379" i="2" l="1"/>
  <c r="H379" i="2" s="1"/>
  <c r="F380" i="2"/>
  <c r="B381" i="2"/>
  <c r="C380" i="2"/>
  <c r="D380" i="2" s="1"/>
  <c r="E380" i="2" s="1"/>
  <c r="H380" i="2" s="1"/>
  <c r="C381" i="2" l="1"/>
  <c r="D381" i="2" s="1"/>
  <c r="F381" i="2"/>
  <c r="B382" i="2"/>
  <c r="E381" i="2"/>
  <c r="H381" i="2" s="1"/>
  <c r="F382" i="2" l="1"/>
  <c r="B383" i="2"/>
  <c r="C382" i="2"/>
  <c r="D382" i="2" s="1"/>
  <c r="E382" i="2" l="1"/>
  <c r="H382" i="2" s="1"/>
  <c r="C383" i="2" s="1"/>
  <c r="D383" i="2" s="1"/>
  <c r="E383" i="2" s="1"/>
  <c r="H383" i="2" s="1"/>
  <c r="F383" i="2"/>
  <c r="B384" i="2"/>
  <c r="B385" i="2" l="1"/>
  <c r="F384" i="2"/>
  <c r="C384" i="2"/>
  <c r="D384" i="2" s="1"/>
  <c r="E384" i="2" s="1"/>
  <c r="H384" i="2" s="1"/>
  <c r="F385" i="2" l="1"/>
  <c r="B386" i="2"/>
  <c r="C385" i="2"/>
  <c r="D385" i="2" s="1"/>
  <c r="E385" i="2" s="1"/>
  <c r="H385" i="2" s="1"/>
  <c r="B387" i="2" l="1"/>
  <c r="C386" i="2"/>
  <c r="D386" i="2" s="1"/>
  <c r="F386" i="2"/>
  <c r="E386" i="2" l="1"/>
  <c r="H386" i="2" s="1"/>
  <c r="C387" i="2" s="1"/>
  <c r="D387" i="2" s="1"/>
  <c r="E387" i="2" s="1"/>
  <c r="F387" i="2"/>
  <c r="B388" i="2"/>
  <c r="H387" i="2" l="1"/>
  <c r="F388" i="2"/>
  <c r="C388" i="2"/>
  <c r="D388" i="2" s="1"/>
  <c r="E388" i="2" s="1"/>
  <c r="H388" i="2" s="1"/>
  <c r="B389" i="2"/>
  <c r="C389" i="2" l="1"/>
  <c r="D389" i="2" s="1"/>
  <c r="E389" i="2" s="1"/>
  <c r="F389" i="2"/>
  <c r="B390" i="2"/>
  <c r="H389" i="2" l="1"/>
  <c r="C390" i="2"/>
  <c r="F390" i="2"/>
  <c r="B391" i="2"/>
  <c r="D390" i="2" l="1"/>
  <c r="E390" i="2" s="1"/>
  <c r="H390" i="2" s="1"/>
  <c r="C391" i="2" s="1"/>
  <c r="B392" i="2"/>
  <c r="F391" i="2"/>
  <c r="D391" i="2" l="1"/>
  <c r="E391" i="2" s="1"/>
  <c r="H391" i="2" s="1"/>
  <c r="C392" i="2" s="1"/>
  <c r="D392" i="2" s="1"/>
  <c r="E392" i="2" s="1"/>
  <c r="F392" i="2"/>
  <c r="B393" i="2"/>
  <c r="H392" i="2" l="1"/>
  <c r="C393" i="2"/>
  <c r="F393" i="2"/>
  <c r="B394" i="2"/>
  <c r="D393" i="2" l="1"/>
  <c r="E393" i="2" s="1"/>
  <c r="H393" i="2" s="1"/>
  <c r="C394" i="2" s="1"/>
  <c r="D394" i="2" s="1"/>
  <c r="E394" i="2" s="1"/>
  <c r="H394" i="2" s="1"/>
  <c r="F394" i="2"/>
  <c r="B395" i="2"/>
  <c r="C395" i="2" l="1"/>
  <c r="F395" i="2"/>
  <c r="B396" i="2"/>
  <c r="D395" i="2"/>
  <c r="E395" i="2" s="1"/>
  <c r="H395" i="2" s="1"/>
  <c r="C396" i="2" l="1"/>
  <c r="F396" i="2"/>
  <c r="B397" i="2"/>
  <c r="D396" i="2"/>
  <c r="E396" i="2" s="1"/>
  <c r="H396" i="2" s="1"/>
  <c r="C397" i="2" l="1"/>
  <c r="F397" i="2"/>
  <c r="B398" i="2"/>
  <c r="D397" i="2"/>
  <c r="E397" i="2" s="1"/>
  <c r="H397" i="2" s="1"/>
  <c r="C398" i="2" l="1"/>
  <c r="D398" i="2" s="1"/>
  <c r="E398" i="2" s="1"/>
  <c r="H398" i="2" s="1"/>
  <c r="F398" i="2"/>
  <c r="B399" i="2"/>
  <c r="C399" i="2" l="1"/>
  <c r="F399" i="2"/>
  <c r="B400" i="2"/>
  <c r="D399" i="2"/>
  <c r="E399" i="2" s="1"/>
  <c r="H399" i="2" s="1"/>
  <c r="C400" i="2" l="1"/>
  <c r="F400" i="2"/>
  <c r="B401" i="2"/>
  <c r="D400" i="2" l="1"/>
  <c r="E400" i="2" s="1"/>
  <c r="H400" i="2" s="1"/>
  <c r="C401" i="2" s="1"/>
  <c r="B402" i="2"/>
  <c r="F401" i="2"/>
  <c r="D401" i="2" l="1"/>
  <c r="E401" i="2" s="1"/>
  <c r="H401" i="2" s="1"/>
  <c r="C402" i="2" s="1"/>
  <c r="F402" i="2"/>
  <c r="B403" i="2"/>
  <c r="D402" i="2" l="1"/>
  <c r="E402" i="2" s="1"/>
  <c r="H402" i="2" s="1"/>
  <c r="C403" i="2" s="1"/>
  <c r="D403" i="2" s="1"/>
  <c r="E403" i="2" s="1"/>
  <c r="H403" i="2" s="1"/>
  <c r="B404" i="2"/>
  <c r="F403" i="2"/>
  <c r="C404" i="2" l="1"/>
  <c r="D404" i="2" s="1"/>
  <c r="E404" i="2" s="1"/>
  <c r="F404" i="2"/>
  <c r="B405" i="2"/>
  <c r="H404" i="2" l="1"/>
  <c r="C405" i="2"/>
  <c r="D405" i="2" s="1"/>
  <c r="E405" i="2" s="1"/>
  <c r="H405" i="2" s="1"/>
  <c r="F405" i="2"/>
  <c r="B406" i="2"/>
  <c r="C406" i="2" l="1"/>
  <c r="D406" i="2" s="1"/>
  <c r="E406" i="2" s="1"/>
  <c r="H406" i="2" s="1"/>
  <c r="F406" i="2"/>
  <c r="B407" i="2"/>
  <c r="C407" i="2" l="1"/>
  <c r="D407" i="2" s="1"/>
  <c r="E407" i="2" s="1"/>
  <c r="F407" i="2"/>
  <c r="B408" i="2"/>
  <c r="H407" i="2" l="1"/>
  <c r="C408" i="2"/>
  <c r="D408" i="2" s="1"/>
  <c r="E408" i="2" s="1"/>
  <c r="H408" i="2" s="1"/>
  <c r="F408" i="2"/>
  <c r="B409" i="2"/>
  <c r="C409" i="2" l="1"/>
  <c r="D409" i="2" s="1"/>
  <c r="E409" i="2" s="1"/>
  <c r="F409" i="2"/>
  <c r="B410" i="2"/>
  <c r="H409" i="2" l="1"/>
  <c r="C410" i="2"/>
  <c r="D410" i="2" s="1"/>
  <c r="E410" i="2" s="1"/>
  <c r="F410" i="2"/>
  <c r="B411" i="2"/>
  <c r="H410" i="2" l="1"/>
  <c r="C411" i="2"/>
  <c r="D411" i="2" s="1"/>
  <c r="E411" i="2" s="1"/>
  <c r="H411" i="2" s="1"/>
  <c r="F411" i="2"/>
  <c r="B412" i="2"/>
  <c r="C412" i="2" l="1"/>
  <c r="D412" i="2" s="1"/>
  <c r="E412" i="2" s="1"/>
  <c r="F412" i="2"/>
  <c r="B413" i="2"/>
  <c r="H412" i="2" l="1"/>
  <c r="C413" i="2" s="1"/>
  <c r="F413" i="2"/>
  <c r="B414" i="2"/>
  <c r="D413" i="2" l="1"/>
  <c r="E413" i="2" s="1"/>
  <c r="H413" i="2" s="1"/>
  <c r="C414" i="2" s="1"/>
  <c r="B415" i="2"/>
  <c r="F414" i="2"/>
  <c r="D414" i="2" l="1"/>
  <c r="E414" i="2" s="1"/>
  <c r="H414" i="2" s="1"/>
  <c r="C415" i="2" s="1"/>
  <c r="F415" i="2"/>
  <c r="B416" i="2"/>
  <c r="D415" i="2" l="1"/>
  <c r="E415" i="2" s="1"/>
  <c r="H415" i="2" s="1"/>
  <c r="C416" i="2" s="1"/>
  <c r="D416" i="2" s="1"/>
  <c r="E416" i="2" s="1"/>
  <c r="H416" i="2" s="1"/>
  <c r="B417" i="2"/>
  <c r="F416" i="2"/>
  <c r="F417" i="2" l="1"/>
  <c r="C417" i="2"/>
  <c r="D417" i="2" s="1"/>
  <c r="B418" i="2"/>
  <c r="E417" i="2" l="1"/>
  <c r="H417" i="2" s="1"/>
  <c r="C418" i="2" s="1"/>
  <c r="D418" i="2" s="1"/>
  <c r="E418" i="2" s="1"/>
  <c r="H418" i="2" s="1"/>
  <c r="F418" i="2"/>
  <c r="B419" i="2"/>
  <c r="C419" i="2" l="1"/>
  <c r="F419" i="2"/>
  <c r="B420" i="2"/>
  <c r="D419" i="2"/>
  <c r="E419" i="2" s="1"/>
  <c r="H419" i="2" s="1"/>
  <c r="C420" i="2" l="1"/>
  <c r="D420" i="2" s="1"/>
  <c r="E420" i="2" s="1"/>
  <c r="F420" i="2"/>
  <c r="B421" i="2"/>
  <c r="H420" i="2" l="1"/>
  <c r="C421" i="2"/>
  <c r="D421" i="2" s="1"/>
  <c r="E421" i="2" s="1"/>
  <c r="H421" i="2" s="1"/>
  <c r="F421" i="2"/>
  <c r="B422" i="2"/>
  <c r="C422" i="2" l="1"/>
  <c r="F422" i="2"/>
  <c r="B423" i="2"/>
  <c r="D422" i="2"/>
  <c r="E422" i="2" s="1"/>
  <c r="H422" i="2" s="1"/>
  <c r="F423" i="2" l="1"/>
  <c r="C423" i="2"/>
  <c r="D423" i="2" s="1"/>
  <c r="E423" i="2" s="1"/>
  <c r="H423" i="2" s="1"/>
  <c r="B424" i="2"/>
  <c r="F424" i="2" l="1"/>
  <c r="B425" i="2"/>
  <c r="C424" i="2"/>
  <c r="D424" i="2" s="1"/>
  <c r="E424" i="2" s="1"/>
  <c r="H424" i="2" s="1"/>
  <c r="C425" i="2" l="1"/>
  <c r="F425" i="2"/>
  <c r="B426" i="2"/>
  <c r="D425" i="2"/>
  <c r="E425" i="2" s="1"/>
  <c r="H425" i="2" s="1"/>
  <c r="C426" i="2" l="1"/>
  <c r="F426" i="2"/>
  <c r="B427" i="2"/>
  <c r="D426" i="2"/>
  <c r="E426" i="2" s="1"/>
  <c r="H426" i="2" s="1"/>
  <c r="C427" i="2" l="1"/>
  <c r="B428" i="2"/>
  <c r="F427" i="2"/>
  <c r="E427" i="2"/>
  <c r="D427" i="2"/>
  <c r="H427" i="2" l="1"/>
  <c r="B429" i="2"/>
  <c r="F428" i="2"/>
  <c r="C428" i="2"/>
  <c r="D428" i="2" s="1"/>
  <c r="E428" i="2" l="1"/>
  <c r="H428" i="2" s="1"/>
  <c r="C429" i="2" s="1"/>
  <c r="D429" i="2" s="1"/>
  <c r="E429" i="2" s="1"/>
  <c r="F429" i="2"/>
  <c r="B430" i="2"/>
  <c r="H429" i="2" l="1"/>
  <c r="C430" i="2"/>
  <c r="D430" i="2" s="1"/>
  <c r="E430" i="2" s="1"/>
  <c r="F430" i="2"/>
  <c r="B431" i="2"/>
  <c r="H430" i="2" l="1"/>
  <c r="C431" i="2" s="1"/>
  <c r="D431" i="2" s="1"/>
  <c r="E431" i="2" s="1"/>
  <c r="H431" i="2" s="1"/>
  <c r="B432" i="2"/>
  <c r="F431" i="2"/>
  <c r="C432" i="2" l="1"/>
  <c r="F432" i="2"/>
  <c r="B433" i="2"/>
  <c r="D432" i="2"/>
  <c r="E432" i="2" l="1"/>
  <c r="H432" i="2" s="1"/>
  <c r="C433" i="2" s="1"/>
  <c r="D433" i="2" s="1"/>
  <c r="E433" i="2" s="1"/>
  <c r="H433" i="2" s="1"/>
  <c r="B434" i="2"/>
  <c r="F433" i="2"/>
  <c r="C434" i="2" l="1"/>
  <c r="D434" i="2" s="1"/>
  <c r="E434" i="2" s="1"/>
  <c r="H434" i="2" s="1"/>
  <c r="F434" i="2"/>
  <c r="B435" i="2"/>
  <c r="C435" i="2" l="1"/>
  <c r="D435" i="2" s="1"/>
  <c r="E435" i="2" s="1"/>
  <c r="H435" i="2" s="1"/>
  <c r="F435" i="2"/>
  <c r="B436" i="2"/>
  <c r="C436" i="2" l="1"/>
  <c r="D436" i="2" s="1"/>
  <c r="E436" i="2" s="1"/>
  <c r="F436" i="2"/>
  <c r="B437" i="2"/>
  <c r="H436" i="2" l="1"/>
  <c r="C437" i="2"/>
  <c r="D437" i="2" s="1"/>
  <c r="E437" i="2" s="1"/>
  <c r="F437" i="2"/>
  <c r="B438" i="2"/>
  <c r="H437" i="2" l="1"/>
  <c r="C438" i="2"/>
  <c r="D438" i="2" s="1"/>
  <c r="E438" i="2" s="1"/>
  <c r="F438" i="2"/>
  <c r="B439" i="2"/>
  <c r="H438" i="2" l="1"/>
  <c r="C439" i="2" s="1"/>
  <c r="D439" i="2" s="1"/>
  <c r="E439" i="2" s="1"/>
  <c r="H439" i="2" s="1"/>
  <c r="F439" i="2"/>
  <c r="B440" i="2"/>
  <c r="C440" i="2" l="1"/>
  <c r="D440" i="2" s="1"/>
  <c r="E440" i="2" s="1"/>
  <c r="H440" i="2" s="1"/>
  <c r="F440" i="2"/>
  <c r="B441" i="2"/>
  <c r="C441" i="2" l="1"/>
  <c r="F441" i="2"/>
  <c r="B442" i="2"/>
  <c r="D441" i="2"/>
  <c r="E441" i="2" l="1"/>
  <c r="H441" i="2" s="1"/>
  <c r="F442" i="2"/>
  <c r="B443" i="2"/>
  <c r="C442" i="2"/>
  <c r="D442" i="2" s="1"/>
  <c r="E442" i="2" l="1"/>
  <c r="H442" i="2" s="1"/>
  <c r="C443" i="2"/>
  <c r="D443" i="2" s="1"/>
  <c r="F443" i="2"/>
  <c r="B444" i="2"/>
  <c r="E443" i="2" l="1"/>
  <c r="H443" i="2" s="1"/>
  <c r="C444" i="2" s="1"/>
  <c r="B445" i="2"/>
  <c r="F444" i="2"/>
  <c r="D444" i="2" l="1"/>
  <c r="E444" i="2" s="1"/>
  <c r="H444" i="2" s="1"/>
  <c r="C445" i="2" s="1"/>
  <c r="D445" i="2" s="1"/>
  <c r="E445" i="2" s="1"/>
  <c r="H445" i="2" s="1"/>
  <c r="F445" i="2"/>
  <c r="B446" i="2"/>
  <c r="C446" i="2" l="1"/>
  <c r="D446" i="2" s="1"/>
  <c r="E446" i="2" s="1"/>
  <c r="H446" i="2" s="1"/>
  <c r="F446" i="2"/>
  <c r="B447" i="2"/>
  <c r="C447" i="2" l="1"/>
  <c r="D447" i="2" s="1"/>
  <c r="E447" i="2" s="1"/>
  <c r="H447" i="2" s="1"/>
  <c r="F447" i="2"/>
  <c r="B448" i="2"/>
  <c r="C448" i="2" l="1"/>
  <c r="F448" i="2"/>
  <c r="B449" i="2"/>
  <c r="D448" i="2"/>
  <c r="E448" i="2" l="1"/>
  <c r="H448" i="2" s="1"/>
  <c r="C449" i="2"/>
  <c r="D449" i="2" s="1"/>
  <c r="E449" i="2" s="1"/>
  <c r="H449" i="2" s="1"/>
  <c r="B450" i="2"/>
  <c r="F449" i="2"/>
  <c r="C450" i="2" l="1"/>
  <c r="D450" i="2" s="1"/>
  <c r="E450" i="2" s="1"/>
  <c r="F450" i="2"/>
  <c r="B451" i="2"/>
  <c r="H450" i="2" l="1"/>
  <c r="C451" i="2"/>
  <c r="F451" i="2"/>
  <c r="B452" i="2"/>
  <c r="D451" i="2" l="1"/>
  <c r="E451" i="2" s="1"/>
  <c r="H451" i="2" s="1"/>
  <c r="C452" i="2" s="1"/>
  <c r="D452" i="2" s="1"/>
  <c r="E452" i="2" s="1"/>
  <c r="H452" i="2" s="1"/>
  <c r="F452" i="2"/>
  <c r="B453" i="2"/>
  <c r="C453" i="2" l="1"/>
  <c r="D453" i="2" s="1"/>
  <c r="E453" i="2" s="1"/>
  <c r="H453" i="2" s="1"/>
  <c r="F453" i="2"/>
  <c r="B454" i="2"/>
  <c r="B455" i="2" l="1"/>
  <c r="F454" i="2"/>
  <c r="C454" i="2"/>
  <c r="D454" i="2" s="1"/>
  <c r="E454" i="2" l="1"/>
  <c r="H454" i="2" s="1"/>
  <c r="C455" i="2" s="1"/>
  <c r="F455" i="2"/>
  <c r="B456" i="2"/>
  <c r="D455" i="2" l="1"/>
  <c r="E455" i="2" s="1"/>
  <c r="H455" i="2" s="1"/>
  <c r="C456" i="2" s="1"/>
  <c r="D456" i="2" s="1"/>
  <c r="E456" i="2" s="1"/>
  <c r="H456" i="2" s="1"/>
  <c r="F456" i="2"/>
  <c r="B457" i="2"/>
  <c r="F457" i="2" l="1"/>
  <c r="B458" i="2"/>
  <c r="C457" i="2"/>
  <c r="D457" i="2" s="1"/>
  <c r="E457" i="2" s="1"/>
  <c r="H457" i="2" s="1"/>
  <c r="C458" i="2" l="1"/>
  <c r="D458" i="2" s="1"/>
  <c r="E458" i="2" s="1"/>
  <c r="B459" i="2"/>
  <c r="F458" i="2"/>
  <c r="H458" i="2" l="1"/>
  <c r="C459" i="2"/>
  <c r="D459" i="2" s="1"/>
  <c r="E459" i="2" s="1"/>
  <c r="H459" i="2" s="1"/>
  <c r="F459" i="2"/>
  <c r="B460" i="2"/>
  <c r="C460" i="2" l="1"/>
  <c r="F460" i="2"/>
  <c r="B461" i="2"/>
  <c r="D460" i="2"/>
  <c r="E460" i="2" s="1"/>
  <c r="H460" i="2" s="1"/>
  <c r="C461" i="2" l="1"/>
  <c r="D461" i="2" s="1"/>
  <c r="F461" i="2"/>
  <c r="B462" i="2"/>
  <c r="E461" i="2" l="1"/>
  <c r="H461" i="2" s="1"/>
  <c r="C462" i="2" s="1"/>
  <c r="F462" i="2"/>
  <c r="B463" i="2"/>
  <c r="D462" i="2" l="1"/>
  <c r="E462" i="2" s="1"/>
  <c r="H462" i="2" s="1"/>
  <c r="C463" i="2" s="1"/>
  <c r="D463" i="2" s="1"/>
  <c r="E463" i="2" s="1"/>
  <c r="H463" i="2" s="1"/>
  <c r="F463" i="2"/>
  <c r="B464" i="2"/>
  <c r="C464" i="2" l="1"/>
  <c r="F464" i="2"/>
  <c r="B465" i="2"/>
  <c r="D464" i="2"/>
  <c r="E464" i="2" l="1"/>
  <c r="H464" i="2" s="1"/>
  <c r="F465" i="2"/>
  <c r="C465" i="2"/>
  <c r="D465" i="2" s="1"/>
  <c r="B466" i="2"/>
  <c r="E465" i="2" l="1"/>
  <c r="H465" i="2" s="1"/>
  <c r="C466" i="2" s="1"/>
  <c r="D466" i="2" s="1"/>
  <c r="E466" i="2" s="1"/>
  <c r="B467" i="2"/>
  <c r="F466" i="2"/>
  <c r="H466" i="2" l="1"/>
  <c r="C467" i="2"/>
  <c r="D467" i="2" s="1"/>
  <c r="E467" i="2" s="1"/>
  <c r="H467" i="2" s="1"/>
  <c r="F467" i="2"/>
  <c r="B468" i="2"/>
  <c r="F468" i="2" l="1"/>
  <c r="B469" i="2"/>
  <c r="C468" i="2"/>
  <c r="D468" i="2" s="1"/>
  <c r="E468" i="2" s="1"/>
  <c r="H468" i="2" s="1"/>
  <c r="F469" i="2" l="1"/>
  <c r="B470" i="2"/>
  <c r="C469" i="2"/>
  <c r="D469" i="2" s="1"/>
  <c r="E469" i="2" s="1"/>
  <c r="H469" i="2" s="1"/>
  <c r="C470" i="2" l="1"/>
  <c r="D470" i="2" s="1"/>
  <c r="E470" i="2" s="1"/>
  <c r="H470" i="2" s="1"/>
  <c r="F470" i="2"/>
  <c r="B471" i="2"/>
  <c r="C471" i="2" l="1"/>
  <c r="D471" i="2" s="1"/>
  <c r="E471" i="2" s="1"/>
  <c r="H471" i="2" s="1"/>
  <c r="F471" i="2"/>
  <c r="B472" i="2"/>
  <c r="C472" i="2" l="1"/>
  <c r="D472" i="2" s="1"/>
  <c r="E472" i="2" s="1"/>
  <c r="H472" i="2" s="1"/>
  <c r="F472" i="2"/>
  <c r="B473" i="2"/>
  <c r="C473" i="2" l="1"/>
  <c r="D473" i="2" s="1"/>
  <c r="E473" i="2" s="1"/>
  <c r="H473" i="2" s="1"/>
  <c r="F473" i="2"/>
  <c r="B474" i="2"/>
  <c r="C474" i="2" l="1"/>
  <c r="D474" i="2" s="1"/>
  <c r="E474" i="2" s="1"/>
  <c r="H474" i="2" s="1"/>
  <c r="F474" i="2"/>
  <c r="B475" i="2"/>
  <c r="C475" i="2" l="1"/>
  <c r="B476" i="2"/>
  <c r="F475" i="2"/>
  <c r="D475" i="2"/>
  <c r="E475" i="2" l="1"/>
  <c r="H475" i="2" s="1"/>
  <c r="F476" i="2"/>
  <c r="C476" i="2"/>
  <c r="D476" i="2" s="1"/>
  <c r="B477" i="2"/>
  <c r="E476" i="2" l="1"/>
  <c r="H476" i="2" s="1"/>
  <c r="B478" i="2"/>
  <c r="C477" i="2"/>
  <c r="D477" i="2" s="1"/>
  <c r="E477" i="2" s="1"/>
  <c r="F477" i="2"/>
  <c r="H477" i="2" l="1"/>
  <c r="C478" i="2"/>
  <c r="D478" i="2" s="1"/>
  <c r="E478" i="2" s="1"/>
  <c r="B479" i="2"/>
  <c r="F478" i="2"/>
  <c r="H478" i="2" l="1"/>
  <c r="C479" i="2" s="1"/>
  <c r="D479" i="2" s="1"/>
  <c r="E479" i="2" s="1"/>
  <c r="H479" i="2" s="1"/>
  <c r="B480" i="2"/>
  <c r="F479" i="2"/>
  <c r="C480" i="2" l="1"/>
  <c r="B481" i="2"/>
  <c r="F480" i="2"/>
  <c r="D480" i="2"/>
  <c r="E480" i="2" l="1"/>
  <c r="H480" i="2" s="1"/>
  <c r="C481" i="2"/>
  <c r="D481" i="2" s="1"/>
  <c r="E481" i="2" s="1"/>
  <c r="H481" i="2" s="1"/>
  <c r="F481" i="2"/>
  <c r="B482" i="2"/>
  <c r="C482" i="2" l="1"/>
  <c r="D482" i="2" s="1"/>
  <c r="E482" i="2" s="1"/>
  <c r="F482" i="2"/>
  <c r="B483" i="2"/>
  <c r="H482" i="2" l="1"/>
  <c r="B484" i="2"/>
  <c r="F483" i="2"/>
  <c r="D483" i="2"/>
  <c r="E483" i="2" s="1"/>
  <c r="H483" i="2" s="1"/>
  <c r="C483" i="2"/>
  <c r="C484" i="2" l="1"/>
  <c r="D484" i="2" s="1"/>
  <c r="E484" i="2" s="1"/>
  <c r="B485" i="2"/>
  <c r="F484" i="2"/>
  <c r="H484" i="2" l="1"/>
  <c r="C485" i="2"/>
  <c r="D485" i="2" s="1"/>
  <c r="E485" i="2" s="1"/>
  <c r="B486" i="2"/>
  <c r="F485" i="2"/>
  <c r="H485" i="2" l="1"/>
  <c r="C486" i="2"/>
  <c r="B487" i="2"/>
  <c r="F486" i="2"/>
  <c r="D486" i="2" l="1"/>
  <c r="E486" i="2" s="1"/>
  <c r="H486" i="2" s="1"/>
  <c r="C487" i="2" s="1"/>
  <c r="D487" i="2" s="1"/>
  <c r="F487" i="2"/>
  <c r="B488" i="2"/>
  <c r="E487" i="2" l="1"/>
  <c r="H487" i="2" s="1"/>
  <c r="C488" i="2" s="1"/>
  <c r="D488" i="2" s="1"/>
  <c r="E488" i="2" s="1"/>
  <c r="B489" i="2"/>
  <c r="F488" i="2"/>
  <c r="H488" i="2" l="1"/>
  <c r="B490" i="2"/>
  <c r="C489" i="2"/>
  <c r="D489" i="2" s="1"/>
  <c r="F489" i="2"/>
  <c r="E489" i="2" l="1"/>
  <c r="H489" i="2" s="1"/>
  <c r="F490" i="2"/>
  <c r="C490" i="2"/>
  <c r="D490" i="2" s="1"/>
  <c r="E490" i="2" s="1"/>
  <c r="H490" i="2" s="1"/>
  <c r="B491" i="2"/>
  <c r="F491" i="2" l="1"/>
  <c r="C491" i="2"/>
  <c r="D491" i="2"/>
  <c r="E491" i="2" s="1"/>
  <c r="H491" i="2" s="1"/>
  <c r="B492" i="2"/>
  <c r="B493" i="2" l="1"/>
  <c r="C492" i="2"/>
  <c r="D492" i="2" s="1"/>
  <c r="F492" i="2"/>
  <c r="E492" i="2"/>
  <c r="H492" i="2" s="1"/>
  <c r="B494" i="2" l="1"/>
  <c r="F493" i="2"/>
  <c r="C493" i="2"/>
  <c r="D493" i="2"/>
  <c r="E493" i="2" s="1"/>
  <c r="H493" i="2" s="1"/>
  <c r="C494" i="2" l="1"/>
  <c r="B495" i="2"/>
  <c r="F494" i="2"/>
  <c r="D494" i="2"/>
  <c r="E494" i="2" s="1"/>
  <c r="H494" i="2" s="1"/>
  <c r="C495" i="2" l="1"/>
  <c r="B496" i="2"/>
  <c r="F495" i="2"/>
  <c r="D495" i="2"/>
  <c r="E495" i="2" s="1"/>
  <c r="H495" i="2" s="1"/>
  <c r="C496" i="2" l="1"/>
  <c r="D496" i="2" s="1"/>
  <c r="E496" i="2" s="1"/>
  <c r="H496" i="2" s="1"/>
  <c r="B497" i="2"/>
  <c r="F496" i="2"/>
  <c r="C497" i="2" l="1"/>
  <c r="D497" i="2" s="1"/>
  <c r="E497" i="2" s="1"/>
  <c r="H497" i="2" s="1"/>
  <c r="B498" i="2"/>
  <c r="F497" i="2"/>
  <c r="C498" i="2" l="1"/>
  <c r="B499" i="2"/>
  <c r="F498" i="2"/>
  <c r="D498" i="2"/>
  <c r="E498" i="2" s="1"/>
  <c r="H498" i="2" s="1"/>
  <c r="C499" i="2" l="1"/>
  <c r="B500" i="2"/>
  <c r="F499" i="2"/>
  <c r="D499" i="2"/>
  <c r="E499" i="2" s="1"/>
  <c r="H499" i="2" s="1"/>
  <c r="C500" i="2" l="1"/>
  <c r="B501" i="2"/>
  <c r="F500" i="2"/>
  <c r="D500" i="2"/>
  <c r="E500" i="2" s="1"/>
  <c r="H500" i="2" s="1"/>
  <c r="C501" i="2" l="1"/>
  <c r="D501" i="2" s="1"/>
  <c r="E501" i="2" s="1"/>
  <c r="H501" i="2" s="1"/>
  <c r="F501" i="2"/>
  <c r="B502" i="2"/>
  <c r="B503" i="2" l="1"/>
  <c r="F502" i="2"/>
  <c r="C502" i="2"/>
  <c r="D502" i="2"/>
  <c r="E502" i="2" s="1"/>
  <c r="H502" i="2" s="1"/>
  <c r="C503" i="2" l="1"/>
  <c r="D503" i="2" s="1"/>
  <c r="E503" i="2" s="1"/>
  <c r="H503" i="2" s="1"/>
  <c r="B504" i="2"/>
  <c r="F503" i="2"/>
  <c r="C504" i="2" l="1"/>
  <c r="D504" i="2" s="1"/>
  <c r="E504" i="2" s="1"/>
  <c r="H504" i="2" s="1"/>
  <c r="B505" i="2"/>
  <c r="F504" i="2"/>
  <c r="C505" i="2" l="1"/>
  <c r="D505" i="2" s="1"/>
  <c r="E505" i="2" s="1"/>
  <c r="H505" i="2" s="1"/>
  <c r="F505" i="2"/>
  <c r="B506" i="2"/>
  <c r="C506" i="2" l="1"/>
  <c r="D506" i="2" s="1"/>
  <c r="E506" i="2" s="1"/>
  <c r="H506" i="2" s="1"/>
  <c r="F506" i="2"/>
  <c r="B507" i="2"/>
  <c r="C507" i="2" l="1"/>
  <c r="D507" i="2" s="1"/>
  <c r="E507" i="2" s="1"/>
  <c r="H507" i="2" s="1"/>
  <c r="B508" i="2"/>
  <c r="F507" i="2"/>
  <c r="C508" i="2" l="1"/>
  <c r="D508" i="2" s="1"/>
  <c r="E508" i="2" s="1"/>
  <c r="H508" i="2" s="1"/>
  <c r="B509" i="2"/>
  <c r="F508" i="2"/>
  <c r="C509" i="2" l="1"/>
  <c r="D509" i="2" s="1"/>
  <c r="E509" i="2" s="1"/>
  <c r="H509" i="2" s="1"/>
  <c r="B510" i="2"/>
  <c r="F509" i="2"/>
  <c r="C510" i="2" l="1"/>
  <c r="D510" i="2" s="1"/>
  <c r="E510" i="2" s="1"/>
  <c r="H510" i="2" s="1"/>
  <c r="B511" i="2"/>
  <c r="F510" i="2"/>
  <c r="C511" i="2" l="1"/>
  <c r="D511" i="2" s="1"/>
  <c r="E511" i="2" s="1"/>
  <c r="H511" i="2" s="1"/>
  <c r="B512" i="2"/>
  <c r="F511" i="2"/>
  <c r="C512" i="2" l="1"/>
  <c r="D512" i="2" s="1"/>
  <c r="E512" i="2" s="1"/>
  <c r="H512" i="2" s="1"/>
  <c r="B513" i="2"/>
  <c r="F512" i="2"/>
  <c r="F513" i="2" l="1"/>
  <c r="B514" i="2"/>
  <c r="C513" i="2"/>
  <c r="E513" i="2" l="1"/>
  <c r="H513" i="2" s="1"/>
  <c r="C514" i="2" s="1"/>
  <c r="D513" i="2"/>
  <c r="F514" i="2"/>
  <c r="B515" i="2"/>
  <c r="D514" i="2" l="1"/>
  <c r="E514" i="2" s="1"/>
  <c r="H514" i="2" s="1"/>
  <c r="C515" i="2" s="1"/>
  <c r="D515" i="2" s="1"/>
  <c r="E515" i="2" s="1"/>
  <c r="H515" i="2" s="1"/>
  <c r="F515" i="2"/>
  <c r="B516" i="2"/>
  <c r="C516" i="2" l="1"/>
  <c r="D516" i="2" s="1"/>
  <c r="B517" i="2"/>
  <c r="F516" i="2"/>
  <c r="E516" i="2" l="1"/>
  <c r="H516" i="2" s="1"/>
  <c r="F517" i="2"/>
  <c r="B518" i="2"/>
  <c r="C517" i="2"/>
  <c r="D517" i="2" s="1"/>
  <c r="E517" i="2" s="1"/>
  <c r="H517" i="2" s="1"/>
  <c r="C518" i="2" l="1"/>
  <c r="E518" i="2" s="1"/>
  <c r="H518" i="2" s="1"/>
  <c r="F518" i="2"/>
  <c r="B519" i="2"/>
  <c r="D518" i="2"/>
  <c r="C519" i="2" l="1"/>
  <c r="D519" i="2" s="1"/>
  <c r="E519" i="2" s="1"/>
  <c r="H519" i="2" s="1"/>
  <c r="F519" i="2"/>
  <c r="B520" i="2"/>
  <c r="C520" i="2" l="1"/>
  <c r="D520" i="2" s="1"/>
  <c r="E520" i="2" s="1"/>
  <c r="H520" i="2" s="1"/>
  <c r="F520" i="2"/>
  <c r="B521" i="2"/>
  <c r="C521" i="2" l="1"/>
  <c r="D521" i="2" s="1"/>
  <c r="E521" i="2" s="1"/>
  <c r="H521" i="2" s="1"/>
  <c r="F521" i="2"/>
  <c r="B522" i="2"/>
  <c r="C522" i="2" l="1"/>
  <c r="D522" i="2" s="1"/>
  <c r="E522" i="2" s="1"/>
  <c r="H522" i="2" s="1"/>
  <c r="F522" i="2"/>
  <c r="B523" i="2"/>
  <c r="C523" i="2" l="1"/>
  <c r="D523" i="2" s="1"/>
  <c r="E523" i="2" s="1"/>
  <c r="H523" i="2" s="1"/>
  <c r="F523" i="2"/>
  <c r="B524" i="2"/>
  <c r="F524" i="2" l="1"/>
  <c r="B525" i="2"/>
  <c r="D524" i="2"/>
  <c r="C524" i="2"/>
  <c r="E524" i="2" s="1"/>
  <c r="H524" i="2" s="1"/>
  <c r="B526" i="2" l="1"/>
  <c r="C525" i="2"/>
  <c r="D525" i="2" s="1"/>
  <c r="E525" i="2" s="1"/>
  <c r="H525" i="2" s="1"/>
  <c r="F525" i="2"/>
  <c r="F526" i="2" l="1"/>
  <c r="B527" i="2"/>
  <c r="C526" i="2"/>
  <c r="D526" i="2" s="1"/>
  <c r="E526" i="2" l="1"/>
  <c r="H526" i="2" s="1"/>
  <c r="C527" i="2" s="1"/>
  <c r="D527" i="2" s="1"/>
  <c r="E527" i="2" s="1"/>
  <c r="H527" i="2" s="1"/>
  <c r="F527" i="2"/>
  <c r="B528" i="2"/>
  <c r="F528" i="2" l="1"/>
  <c r="B529" i="2"/>
  <c r="C528" i="2"/>
  <c r="D528" i="2" s="1"/>
  <c r="E528" i="2" l="1"/>
  <c r="H528" i="2" s="1"/>
  <c r="C529" i="2" s="1"/>
  <c r="F529" i="2"/>
  <c r="B530" i="2"/>
  <c r="D529" i="2" l="1"/>
  <c r="E529" i="2" s="1"/>
  <c r="H529" i="2" s="1"/>
  <c r="C530" i="2" s="1"/>
  <c r="D530" i="2" s="1"/>
  <c r="E530" i="2" s="1"/>
  <c r="H530" i="2" s="1"/>
  <c r="F530" i="2"/>
  <c r="B531" i="2"/>
  <c r="C531" i="2" l="1"/>
  <c r="D531" i="2" s="1"/>
  <c r="E531" i="2" s="1"/>
  <c r="H531" i="2" s="1"/>
  <c r="F531" i="2"/>
  <c r="B532" i="2"/>
  <c r="B533" i="2" l="1"/>
  <c r="F532" i="2"/>
  <c r="C532" i="2"/>
  <c r="D532" i="2" s="1"/>
  <c r="E532" i="2" l="1"/>
  <c r="H532" i="2" s="1"/>
  <c r="B534" i="2"/>
  <c r="F533" i="2"/>
  <c r="C533" i="2"/>
  <c r="E533" i="2" l="1"/>
  <c r="H533" i="2" s="1"/>
  <c r="C534" i="2" s="1"/>
  <c r="D533" i="2"/>
  <c r="F534" i="2"/>
  <c r="B535" i="2"/>
  <c r="D534" i="2" l="1"/>
  <c r="E534" i="2" s="1"/>
  <c r="H534" i="2" s="1"/>
  <c r="C535" i="2" s="1"/>
  <c r="F535" i="2"/>
  <c r="B536" i="2"/>
  <c r="D535" i="2" l="1"/>
  <c r="E535" i="2" s="1"/>
  <c r="H535" i="2" s="1"/>
  <c r="C536" i="2" s="1"/>
  <c r="D536" i="2" s="1"/>
  <c r="E536" i="2" s="1"/>
  <c r="H536" i="2" s="1"/>
  <c r="B537" i="2"/>
  <c r="F536" i="2"/>
  <c r="C537" i="2" l="1"/>
  <c r="D537" i="2" s="1"/>
  <c r="F537" i="2"/>
  <c r="B538" i="2"/>
  <c r="E537" i="2" l="1"/>
  <c r="H537" i="2" s="1"/>
  <c r="C538" i="2" s="1"/>
  <c r="D538" i="2" s="1"/>
  <c r="E538" i="2" s="1"/>
  <c r="H538" i="2" s="1"/>
  <c r="B539" i="2"/>
  <c r="F538" i="2"/>
  <c r="C539" i="2" l="1"/>
  <c r="D539" i="2" s="1"/>
  <c r="F539" i="2"/>
  <c r="B540" i="2"/>
  <c r="E539" i="2" l="1"/>
  <c r="H539" i="2" s="1"/>
  <c r="B541" i="2"/>
  <c r="C540" i="2"/>
  <c r="D540" i="2" s="1"/>
  <c r="E540" i="2" s="1"/>
  <c r="H540" i="2" s="1"/>
  <c r="F540" i="2"/>
  <c r="C541" i="2" l="1"/>
  <c r="F541" i="2"/>
  <c r="B542" i="2"/>
  <c r="D541" i="2"/>
  <c r="E541" i="2" s="1"/>
  <c r="H541" i="2" s="1"/>
  <c r="F542" i="2" l="1"/>
  <c r="B543" i="2"/>
  <c r="C542" i="2"/>
  <c r="E542" i="2" l="1"/>
  <c r="H542" i="2" s="1"/>
  <c r="C543" i="2" s="1"/>
  <c r="D543" i="2" s="1"/>
  <c r="E543" i="2" s="1"/>
  <c r="H543" i="2" s="1"/>
  <c r="D542" i="2"/>
  <c r="F543" i="2"/>
  <c r="B544" i="2"/>
  <c r="C544" i="2" l="1"/>
  <c r="F544" i="2"/>
  <c r="B545" i="2"/>
  <c r="D544" i="2"/>
  <c r="E544" i="2" s="1"/>
  <c r="H544" i="2" s="1"/>
  <c r="F545" i="2" l="1"/>
  <c r="B546" i="2"/>
  <c r="D545" i="2"/>
  <c r="E545" i="2" s="1"/>
  <c r="H545" i="2" s="1"/>
  <c r="C545" i="2"/>
  <c r="C546" i="2" l="1"/>
  <c r="F546" i="2"/>
  <c r="B547" i="2"/>
  <c r="D546" i="2"/>
  <c r="E546" i="2" s="1"/>
  <c r="H546" i="2" s="1"/>
  <c r="C547" i="2" l="1"/>
  <c r="D547" i="2" s="1"/>
  <c r="E547" i="2" s="1"/>
  <c r="H547" i="2" s="1"/>
  <c r="F547" i="2"/>
  <c r="B548" i="2"/>
  <c r="F548" i="2" l="1"/>
  <c r="B549" i="2"/>
  <c r="D548" i="2"/>
  <c r="E548" i="2" s="1"/>
  <c r="H548" i="2" s="1"/>
  <c r="C548" i="2"/>
  <c r="C549" i="2" l="1"/>
  <c r="D549" i="2" s="1"/>
  <c r="E549" i="2" s="1"/>
  <c r="H549" i="2" s="1"/>
  <c r="F549" i="2"/>
  <c r="B550" i="2"/>
  <c r="C550" i="2" l="1"/>
  <c r="E550" i="2" s="1"/>
  <c r="H550" i="2" s="1"/>
  <c r="F550" i="2"/>
  <c r="B551" i="2"/>
  <c r="D550" i="2"/>
  <c r="B552" i="2" l="1"/>
  <c r="F551" i="2"/>
  <c r="C551" i="2"/>
  <c r="D551" i="2" s="1"/>
  <c r="E551" i="2" s="1"/>
  <c r="H551" i="2" s="1"/>
  <c r="F552" i="2" l="1"/>
  <c r="B553" i="2"/>
  <c r="D552" i="2"/>
  <c r="C552" i="2"/>
  <c r="E552" i="2" s="1"/>
  <c r="H552" i="2" s="1"/>
  <c r="C553" i="2" l="1"/>
  <c r="D553" i="2" s="1"/>
  <c r="E553" i="2" s="1"/>
  <c r="H553" i="2" s="1"/>
  <c r="B554" i="2"/>
  <c r="F553" i="2"/>
  <c r="C554" i="2" l="1"/>
  <c r="E554" i="2" s="1"/>
  <c r="H554" i="2" s="1"/>
  <c r="F554" i="2"/>
  <c r="B555" i="2"/>
  <c r="D554" i="2"/>
  <c r="C555" i="2" l="1"/>
  <c r="D555" i="2" s="1"/>
  <c r="E555" i="2" s="1"/>
  <c r="H555" i="2" s="1"/>
  <c r="B556" i="2"/>
  <c r="F555" i="2"/>
  <c r="C556" i="2" l="1"/>
  <c r="D556" i="2" s="1"/>
  <c r="E556" i="2" s="1"/>
  <c r="H556" i="2" s="1"/>
  <c r="F556" i="2"/>
  <c r="B557" i="2"/>
  <c r="C557" i="2" l="1"/>
  <c r="E557" i="2" s="1"/>
  <c r="H557" i="2" s="1"/>
  <c r="F557" i="2"/>
  <c r="B558" i="2"/>
  <c r="D557" i="2"/>
  <c r="F558" i="2" l="1"/>
  <c r="C558" i="2"/>
  <c r="D558" i="2" s="1"/>
  <c r="E558" i="2" s="1"/>
  <c r="H558" i="2" s="1"/>
  <c r="B559" i="2"/>
  <c r="C559" i="2" l="1"/>
  <c r="D559" i="2" s="1"/>
  <c r="E559" i="2" s="1"/>
  <c r="H559" i="2" s="1"/>
  <c r="F559" i="2"/>
  <c r="B560" i="2"/>
  <c r="F560" i="2" l="1"/>
  <c r="B561" i="2"/>
  <c r="D560" i="2"/>
  <c r="E560" i="2" s="1"/>
  <c r="H560" i="2" s="1"/>
  <c r="C560" i="2"/>
  <c r="C561" i="2" l="1"/>
  <c r="D561" i="2" s="1"/>
  <c r="E561" i="2" s="1"/>
  <c r="H561" i="2" s="1"/>
  <c r="F561" i="2"/>
  <c r="B562" i="2"/>
  <c r="C562" i="2" l="1"/>
  <c r="D562" i="2" s="1"/>
  <c r="E562" i="2" s="1"/>
  <c r="H562" i="2" s="1"/>
  <c r="F562" i="2"/>
  <c r="B563" i="2"/>
  <c r="B564" i="2" l="1"/>
  <c r="C563" i="2"/>
  <c r="D563" i="2" s="1"/>
  <c r="E563" i="2" s="1"/>
  <c r="H563" i="2" s="1"/>
  <c r="F563" i="2"/>
  <c r="C564" i="2" l="1"/>
  <c r="D564" i="2" s="1"/>
  <c r="E564" i="2" s="1"/>
  <c r="H564" i="2" s="1"/>
  <c r="F564" i="2"/>
  <c r="B565" i="2"/>
  <c r="C565" i="2" l="1"/>
  <c r="D565" i="2" s="1"/>
  <c r="E565" i="2" s="1"/>
  <c r="H565" i="2" s="1"/>
  <c r="F565" i="2"/>
  <c r="B566" i="2"/>
  <c r="F566" i="2" l="1"/>
  <c r="B567" i="2"/>
  <c r="D566" i="2"/>
  <c r="E566" i="2" s="1"/>
  <c r="H566" i="2" s="1"/>
  <c r="C566" i="2"/>
  <c r="C567" i="2" l="1"/>
  <c r="D567" i="2" s="1"/>
  <c r="E567" i="2" s="1"/>
  <c r="H567" i="2" s="1"/>
  <c r="B568" i="2"/>
  <c r="F567" i="2"/>
  <c r="B569" i="2" l="1"/>
  <c r="C568" i="2"/>
  <c r="D568" i="2" s="1"/>
  <c r="F568" i="2"/>
  <c r="E568" i="2" l="1"/>
  <c r="H568" i="2" s="1"/>
  <c r="C569" i="2" s="1"/>
  <c r="D569" i="2" s="1"/>
  <c r="E569" i="2" s="1"/>
  <c r="H569" i="2" s="1"/>
  <c r="F569" i="2"/>
  <c r="B570" i="2"/>
  <c r="C570" i="2" l="1"/>
  <c r="E570" i="2" s="1"/>
  <c r="H570" i="2" s="1"/>
  <c r="F570" i="2"/>
  <c r="B571" i="2"/>
  <c r="D570" i="2"/>
  <c r="B572" i="2" l="1"/>
  <c r="F571" i="2"/>
  <c r="C571" i="2"/>
  <c r="E571" i="2" l="1"/>
  <c r="H571" i="2" s="1"/>
  <c r="C572" i="2" s="1"/>
  <c r="D572" i="2" s="1"/>
  <c r="E572" i="2" s="1"/>
  <c r="H572" i="2" s="1"/>
  <c r="D571" i="2"/>
  <c r="F572" i="2"/>
  <c r="B573" i="2"/>
  <c r="C573" i="2" l="1"/>
  <c r="D573" i="2" s="1"/>
  <c r="E573" i="2" s="1"/>
  <c r="H573" i="2" s="1"/>
  <c r="F573" i="2"/>
  <c r="B574" i="2"/>
  <c r="C574" i="2" l="1"/>
  <c r="D574" i="2" s="1"/>
  <c r="E574" i="2" s="1"/>
  <c r="H574" i="2" s="1"/>
  <c r="F574" i="2"/>
  <c r="B575" i="2"/>
  <c r="C575" i="2" l="1"/>
  <c r="D575" i="2" s="1"/>
  <c r="E575" i="2" s="1"/>
  <c r="H575" i="2" s="1"/>
  <c r="F575" i="2"/>
  <c r="B576" i="2"/>
  <c r="C576" i="2" l="1"/>
  <c r="D576" i="2" s="1"/>
  <c r="E576" i="2" s="1"/>
  <c r="H576" i="2" s="1"/>
  <c r="B577" i="2"/>
  <c r="F576" i="2"/>
  <c r="C577" i="2" l="1"/>
  <c r="D577" i="2" s="1"/>
  <c r="E577" i="2" s="1"/>
  <c r="H577" i="2" s="1"/>
  <c r="F577" i="2"/>
  <c r="B578" i="2"/>
  <c r="B579" i="2" l="1"/>
  <c r="C578" i="2"/>
  <c r="D578" i="2" s="1"/>
  <c r="F578" i="2"/>
  <c r="E578" i="2" l="1"/>
  <c r="H578" i="2" s="1"/>
  <c r="C579" i="2" s="1"/>
  <c r="F579" i="2"/>
  <c r="B580" i="2"/>
  <c r="D579" i="2" l="1"/>
  <c r="E579" i="2" s="1"/>
  <c r="H579" i="2" s="1"/>
  <c r="C580" i="2" s="1"/>
  <c r="D580" i="2" s="1"/>
  <c r="E580" i="2" s="1"/>
  <c r="H580" i="2" s="1"/>
  <c r="F580" i="2"/>
  <c r="B581" i="2"/>
  <c r="C581" i="2" l="1"/>
  <c r="D581" i="2" s="1"/>
  <c r="E581" i="2" s="1"/>
  <c r="H581" i="2" s="1"/>
  <c r="B582" i="2"/>
  <c r="F581" i="2"/>
  <c r="C582" i="2" l="1"/>
  <c r="D582" i="2" s="1"/>
  <c r="E582" i="2" s="1"/>
  <c r="H582" i="2" s="1"/>
  <c r="F582" i="2"/>
  <c r="B583" i="2"/>
  <c r="C583" i="2" l="1"/>
  <c r="D583" i="2" s="1"/>
  <c r="E583" i="2" s="1"/>
  <c r="H583" i="2" s="1"/>
  <c r="F583" i="2"/>
  <c r="B584" i="2"/>
  <c r="F584" i="2" l="1"/>
  <c r="B585" i="2"/>
  <c r="C584" i="2"/>
  <c r="D584" i="2" s="1"/>
  <c r="E584" i="2" s="1"/>
  <c r="H584" i="2" s="1"/>
  <c r="C585" i="2" l="1"/>
  <c r="D585" i="2" s="1"/>
  <c r="E585" i="2" s="1"/>
  <c r="H585" i="2" s="1"/>
  <c r="F585" i="2"/>
  <c r="B586" i="2"/>
  <c r="F586" i="2" l="1"/>
  <c r="B587" i="2"/>
  <c r="D586" i="2"/>
  <c r="E586" i="2" s="1"/>
  <c r="H586" i="2" s="1"/>
  <c r="C586" i="2"/>
  <c r="C587" i="2" l="1"/>
  <c r="F587" i="2"/>
  <c r="B588" i="2"/>
  <c r="D587" i="2"/>
  <c r="E587" i="2" s="1"/>
  <c r="H587" i="2" s="1"/>
  <c r="C588" i="2" l="1"/>
  <c r="D588" i="2" s="1"/>
  <c r="E588" i="2" s="1"/>
  <c r="H588" i="2" s="1"/>
  <c r="F588" i="2"/>
  <c r="B589" i="2"/>
  <c r="C589" i="2" l="1"/>
  <c r="B590" i="2"/>
  <c r="F589" i="2"/>
  <c r="D589" i="2"/>
  <c r="E589" i="2" s="1"/>
  <c r="H589" i="2" s="1"/>
  <c r="C590" i="2" l="1"/>
  <c r="D590" i="2" s="1"/>
  <c r="E590" i="2" s="1"/>
  <c r="H590" i="2" s="1"/>
  <c r="B591" i="2"/>
  <c r="F590" i="2"/>
  <c r="C591" i="2" l="1"/>
  <c r="D591" i="2" s="1"/>
  <c r="B592" i="2"/>
  <c r="F591" i="2"/>
  <c r="E591" i="2" l="1"/>
  <c r="H591" i="2" s="1"/>
  <c r="B593" i="2"/>
  <c r="C592" i="2"/>
  <c r="D592" i="2" s="1"/>
  <c r="F592" i="2"/>
  <c r="E592" i="2" l="1"/>
  <c r="H592" i="2" s="1"/>
  <c r="C593" i="2" s="1"/>
  <c r="D593" i="2" s="1"/>
  <c r="E593" i="2" s="1"/>
  <c r="H593" i="2" s="1"/>
  <c r="F593" i="2"/>
  <c r="B594" i="2"/>
  <c r="C594" i="2" l="1"/>
  <c r="E594" i="2" s="1"/>
  <c r="H594" i="2" s="1"/>
  <c r="F594" i="2"/>
  <c r="B595" i="2"/>
  <c r="D594" i="2"/>
  <c r="C595" i="2" l="1"/>
  <c r="D595" i="2" s="1"/>
  <c r="E595" i="2" s="1"/>
  <c r="H595" i="2" s="1"/>
  <c r="F595" i="2"/>
  <c r="B596" i="2"/>
  <c r="C596" i="2" l="1"/>
  <c r="D596" i="2" s="1"/>
  <c r="E596" i="2" s="1"/>
  <c r="H596" i="2" s="1"/>
  <c r="F596" i="2"/>
  <c r="B597" i="2"/>
  <c r="C597" i="2" l="1"/>
  <c r="D597" i="2" s="1"/>
  <c r="E597" i="2" s="1"/>
  <c r="H597" i="2" s="1"/>
  <c r="F597" i="2"/>
  <c r="B598" i="2"/>
  <c r="C598" i="2" l="1"/>
  <c r="D598" i="2" s="1"/>
  <c r="E598" i="2" s="1"/>
  <c r="H598" i="2" s="1"/>
  <c r="F598" i="2"/>
  <c r="B599" i="2"/>
  <c r="C599" i="2" l="1"/>
  <c r="D599" i="2" s="1"/>
  <c r="E599" i="2" s="1"/>
  <c r="H599" i="2" s="1"/>
  <c r="B600" i="2"/>
  <c r="F599" i="2"/>
  <c r="C600" i="2" l="1"/>
  <c r="D600" i="2" s="1"/>
  <c r="E600" i="2" s="1"/>
  <c r="H600" i="2" s="1"/>
  <c r="B601" i="2"/>
  <c r="F600" i="2"/>
  <c r="C601" i="2" l="1"/>
  <c r="D601" i="2" s="1"/>
  <c r="E601" i="2" s="1"/>
  <c r="H601" i="2" s="1"/>
  <c r="F601" i="2"/>
  <c r="B602" i="2"/>
  <c r="C602" i="2" l="1"/>
  <c r="D602" i="2" s="1"/>
  <c r="E602" i="2" s="1"/>
  <c r="H602" i="2" s="1"/>
  <c r="F602" i="2"/>
  <c r="B603" i="2"/>
  <c r="C603" i="2" l="1"/>
  <c r="D603" i="2" s="1"/>
  <c r="E603" i="2" s="1"/>
  <c r="H603" i="2" s="1"/>
  <c r="F603" i="2"/>
  <c r="B604" i="2"/>
  <c r="C604" i="2" l="1"/>
  <c r="D604" i="2" s="1"/>
  <c r="E604" i="2" s="1"/>
  <c r="H604" i="2" s="1"/>
  <c r="B605" i="2"/>
  <c r="F604" i="2"/>
  <c r="C605" i="2" l="1"/>
  <c r="D605" i="2" s="1"/>
  <c r="E605" i="2" s="1"/>
  <c r="H605" i="2" s="1"/>
  <c r="F605" i="2"/>
  <c r="B606" i="2"/>
  <c r="C606" i="2" l="1"/>
  <c r="D606" i="2" s="1"/>
  <c r="E606" i="2" s="1"/>
  <c r="H606" i="2" s="1"/>
  <c r="F606" i="2"/>
  <c r="B607" i="2"/>
  <c r="C607" i="2" l="1"/>
  <c r="D607" i="2" s="1"/>
  <c r="E607" i="2" s="1"/>
  <c r="H607" i="2" s="1"/>
  <c r="F607" i="2"/>
  <c r="B608" i="2"/>
  <c r="C608" i="2" l="1"/>
  <c r="D608" i="2" s="1"/>
  <c r="E608" i="2" s="1"/>
  <c r="H608" i="2" s="1"/>
  <c r="F608" i="2"/>
  <c r="B609" i="2"/>
  <c r="F609" i="2" l="1"/>
  <c r="B610" i="2"/>
  <c r="D609" i="2"/>
  <c r="C609" i="2"/>
  <c r="E609" i="2" s="1"/>
  <c r="H609" i="2" s="1"/>
  <c r="B611" i="2" l="1"/>
  <c r="F610" i="2"/>
  <c r="C610" i="2"/>
  <c r="D610" i="2" s="1"/>
  <c r="E610" i="2" l="1"/>
  <c r="H610" i="2" s="1"/>
  <c r="C611" i="2" s="1"/>
  <c r="D611" i="2" s="1"/>
  <c r="E611" i="2" s="1"/>
  <c r="H611" i="2" s="1"/>
  <c r="F611" i="2"/>
  <c r="B612" i="2"/>
  <c r="C612" i="2" l="1"/>
  <c r="D612" i="2" s="1"/>
  <c r="E612" i="2" s="1"/>
  <c r="H612" i="2" s="1"/>
  <c r="F612" i="2"/>
  <c r="B613" i="2"/>
  <c r="F613" i="2" l="1"/>
  <c r="B614" i="2"/>
  <c r="D613" i="2"/>
  <c r="E613" i="2" s="1"/>
  <c r="H613" i="2" s="1"/>
  <c r="C613" i="2"/>
  <c r="C614" i="2" l="1"/>
  <c r="D614" i="2" s="1"/>
  <c r="E614" i="2" s="1"/>
  <c r="H614" i="2" s="1"/>
  <c r="F614" i="2"/>
  <c r="B615" i="2"/>
  <c r="C615" i="2" l="1"/>
  <c r="E615" i="2" s="1"/>
  <c r="H615" i="2" s="1"/>
  <c r="F615" i="2"/>
  <c r="B616" i="2"/>
  <c r="D615" i="2"/>
  <c r="D616" i="2" l="1"/>
  <c r="F616" i="2"/>
  <c r="B617" i="2"/>
  <c r="C616" i="2"/>
  <c r="E616" i="2" l="1"/>
  <c r="H616" i="2" s="1"/>
  <c r="C617" i="2" s="1"/>
  <c r="D617" i="2" s="1"/>
  <c r="E617" i="2" s="1"/>
  <c r="H617" i="2" s="1"/>
  <c r="F617" i="2"/>
  <c r="B618" i="2"/>
  <c r="F618" i="2" l="1"/>
  <c r="C618" i="2"/>
  <c r="B619" i="2"/>
  <c r="E618" i="2" l="1"/>
  <c r="H618" i="2" s="1"/>
  <c r="C619" i="2" s="1"/>
  <c r="D618" i="2"/>
  <c r="F619" i="2"/>
  <c r="B620" i="2"/>
  <c r="D619" i="2" l="1"/>
  <c r="E619" i="2" s="1"/>
  <c r="H619" i="2" s="1"/>
  <c r="C620" i="2" s="1"/>
  <c r="F620" i="2"/>
  <c r="B621" i="2"/>
  <c r="D620" i="2" l="1"/>
  <c r="E620" i="2" s="1"/>
  <c r="H620" i="2" s="1"/>
  <c r="C621" i="2" s="1"/>
  <c r="B622" i="2"/>
  <c r="F621" i="2"/>
  <c r="E621" i="2" l="1"/>
  <c r="H621" i="2" s="1"/>
  <c r="C622" i="2" s="1"/>
  <c r="D621" i="2"/>
  <c r="F622" i="2"/>
  <c r="B623" i="2"/>
  <c r="E622" i="2" l="1"/>
  <c r="H622" i="2" s="1"/>
  <c r="D622" i="2"/>
  <c r="F623" i="2"/>
  <c r="B624" i="2"/>
  <c r="C623" i="2"/>
  <c r="D623" i="2" s="1"/>
  <c r="E623" i="2" l="1"/>
  <c r="H623" i="2" s="1"/>
  <c r="C624" i="2" s="1"/>
  <c r="D624" i="2" s="1"/>
  <c r="E624" i="2" s="1"/>
  <c r="H624" i="2" s="1"/>
  <c r="F624" i="2"/>
  <c r="B625" i="2"/>
  <c r="C625" i="2" l="1"/>
  <c r="D625" i="2" s="1"/>
  <c r="E625" i="2" s="1"/>
  <c r="H625" i="2" s="1"/>
  <c r="F625" i="2"/>
  <c r="B626" i="2"/>
  <c r="C626" i="2" l="1"/>
  <c r="D626" i="2" s="1"/>
  <c r="F626" i="2"/>
  <c r="B627" i="2"/>
  <c r="E626" i="2" l="1"/>
  <c r="H626" i="2" s="1"/>
  <c r="C627" i="2" s="1"/>
  <c r="D627" i="2" s="1"/>
  <c r="E627" i="2" s="1"/>
  <c r="H627" i="2" s="1"/>
  <c r="F627" i="2"/>
  <c r="B628" i="2"/>
  <c r="F628" i="2" l="1"/>
  <c r="C628" i="2"/>
  <c r="B629" i="2"/>
  <c r="D628" i="2"/>
  <c r="E628" i="2" s="1"/>
  <c r="H628" i="2" s="1"/>
  <c r="C629" i="2" l="1"/>
  <c r="D629" i="2" s="1"/>
  <c r="E629" i="2" s="1"/>
  <c r="H629" i="2" s="1"/>
  <c r="F629" i="2"/>
  <c r="B630" i="2"/>
  <c r="C630" i="2" l="1"/>
  <c r="F630" i="2"/>
  <c r="B631" i="2"/>
  <c r="D630" i="2"/>
  <c r="E630" i="2" s="1"/>
  <c r="H630" i="2" s="1"/>
  <c r="C631" i="2" l="1"/>
  <c r="F631" i="2"/>
  <c r="B632" i="2"/>
  <c r="D631" i="2"/>
  <c r="E631" i="2" s="1"/>
  <c r="H631" i="2" s="1"/>
  <c r="C632" i="2" l="1"/>
  <c r="F632" i="2"/>
  <c r="B633" i="2"/>
  <c r="D632" i="2"/>
  <c r="E632" i="2" s="1"/>
  <c r="H632" i="2" s="1"/>
  <c r="C633" i="2" l="1"/>
  <c r="D633" i="2" s="1"/>
  <c r="F633" i="2"/>
  <c r="B634" i="2"/>
  <c r="E633" i="2" l="1"/>
  <c r="H633" i="2" s="1"/>
  <c r="F634" i="2"/>
  <c r="C634" i="2"/>
  <c r="B635" i="2"/>
  <c r="D634" i="2"/>
  <c r="E634" i="2" l="1"/>
  <c r="H634" i="2" s="1"/>
  <c r="C635" i="2"/>
  <c r="D635" i="2" s="1"/>
  <c r="E635" i="2" s="1"/>
  <c r="H635" i="2" s="1"/>
  <c r="F635" i="2"/>
  <c r="B636" i="2"/>
  <c r="F636" i="2" l="1"/>
  <c r="B637" i="2"/>
  <c r="D636" i="2"/>
  <c r="E636" i="2" s="1"/>
  <c r="H636" i="2" s="1"/>
  <c r="C636" i="2"/>
  <c r="C637" i="2" l="1"/>
  <c r="D637" i="2" s="1"/>
  <c r="F637" i="2"/>
  <c r="B638" i="2"/>
  <c r="E637" i="2" l="1"/>
  <c r="H637" i="2" s="1"/>
  <c r="C638" i="2" s="1"/>
  <c r="B639" i="2"/>
  <c r="F638" i="2"/>
  <c r="E638" i="2" l="1"/>
  <c r="H638" i="2" s="1"/>
  <c r="D638" i="2"/>
  <c r="C639" i="2"/>
  <c r="D639" i="2" s="1"/>
  <c r="E639" i="2" s="1"/>
  <c r="H639" i="2" s="1"/>
  <c r="F639" i="2"/>
  <c r="B640" i="2"/>
  <c r="C640" i="2" l="1"/>
  <c r="D640" i="2" s="1"/>
  <c r="E640" i="2" s="1"/>
  <c r="B641" i="2"/>
  <c r="F640" i="2"/>
  <c r="H640" i="2" l="1"/>
  <c r="C641" i="2" s="1"/>
  <c r="F641" i="2"/>
  <c r="B642" i="2"/>
  <c r="E641" i="2" l="1"/>
  <c r="H641" i="2" s="1"/>
  <c r="D641" i="2"/>
  <c r="C642" i="2"/>
  <c r="D642" i="2" s="1"/>
  <c r="F642" i="2"/>
  <c r="B643" i="2"/>
  <c r="E642" i="2" l="1"/>
  <c r="H642" i="2" s="1"/>
  <c r="C643" i="2" s="1"/>
  <c r="D643" i="2" s="1"/>
  <c r="E643" i="2" s="1"/>
  <c r="H643" i="2" s="1"/>
  <c r="F643" i="2"/>
  <c r="B644" i="2"/>
  <c r="C644" i="2" l="1"/>
  <c r="D644" i="2" s="1"/>
  <c r="E644" i="2" s="1"/>
  <c r="H644" i="2" s="1"/>
  <c r="F644" i="2"/>
  <c r="B645" i="2"/>
  <c r="C645" i="2" l="1"/>
  <c r="E645" i="2" s="1"/>
  <c r="H645" i="2" s="1"/>
  <c r="F645" i="2"/>
  <c r="B646" i="2"/>
  <c r="D645" i="2"/>
  <c r="D646" i="2" l="1"/>
  <c r="F646" i="2"/>
  <c r="C646" i="2"/>
  <c r="E646" i="2" s="1"/>
  <c r="H646" i="2" s="1"/>
  <c r="B647" i="2"/>
  <c r="F647" i="2" l="1"/>
  <c r="C647" i="2"/>
  <c r="D647" i="2" s="1"/>
  <c r="E647" i="2" s="1"/>
  <c r="H647" i="2" s="1"/>
  <c r="B648" i="2"/>
  <c r="C648" i="2" l="1"/>
  <c r="D648" i="2" s="1"/>
  <c r="B649" i="2"/>
  <c r="F648" i="2"/>
  <c r="E648" i="2" l="1"/>
  <c r="H648" i="2" s="1"/>
  <c r="C649" i="2" s="1"/>
  <c r="D649" i="2" s="1"/>
  <c r="E649" i="2" s="1"/>
  <c r="H649" i="2" s="1"/>
  <c r="B650" i="2"/>
  <c r="F649" i="2"/>
  <c r="C650" i="2" l="1"/>
  <c r="D650" i="2" s="1"/>
  <c r="E650" i="2" s="1"/>
  <c r="H650" i="2" s="1"/>
  <c r="F650" i="2"/>
  <c r="B651" i="2"/>
  <c r="C651" i="2" l="1"/>
  <c r="D651" i="2" s="1"/>
  <c r="E651" i="2" s="1"/>
  <c r="H651" i="2" s="1"/>
  <c r="F651" i="2"/>
  <c r="B652" i="2"/>
  <c r="C652" i="2" l="1"/>
  <c r="B653" i="2"/>
  <c r="D652" i="2"/>
  <c r="F652" i="2"/>
  <c r="E652" i="2" l="1"/>
  <c r="H652" i="2" s="1"/>
  <c r="C653" i="2" s="1"/>
  <c r="D653" i="2" s="1"/>
  <c r="E653" i="2" s="1"/>
  <c r="H653" i="2" s="1"/>
  <c r="F653" i="2"/>
  <c r="B654" i="2"/>
  <c r="F654" i="2" l="1"/>
  <c r="B655" i="2"/>
  <c r="D654" i="2"/>
  <c r="E654" i="2" s="1"/>
  <c r="H654" i="2" s="1"/>
  <c r="C654" i="2"/>
  <c r="C655" i="2" l="1"/>
  <c r="D655" i="2" s="1"/>
  <c r="E655" i="2" s="1"/>
  <c r="H655" i="2" s="1"/>
  <c r="F655" i="2"/>
  <c r="B656" i="2"/>
  <c r="C656" i="2" l="1"/>
  <c r="D656" i="2" s="1"/>
  <c r="E656" i="2" s="1"/>
  <c r="H656" i="2" s="1"/>
  <c r="B657" i="2"/>
  <c r="F656" i="2"/>
  <c r="C657" i="2" l="1"/>
  <c r="E657" i="2" s="1"/>
  <c r="H657" i="2" s="1"/>
  <c r="B658" i="2"/>
  <c r="F657" i="2"/>
  <c r="D657" i="2"/>
  <c r="C658" i="2" l="1"/>
  <c r="D658" i="2" s="1"/>
  <c r="E658" i="2" s="1"/>
  <c r="H658" i="2" s="1"/>
  <c r="F658" i="2"/>
  <c r="B659" i="2"/>
  <c r="C659" i="2" l="1"/>
  <c r="E659" i="2" s="1"/>
  <c r="H659" i="2" s="1"/>
  <c r="F659" i="2"/>
  <c r="B660" i="2"/>
  <c r="D659" i="2"/>
  <c r="F660" i="2" l="1"/>
  <c r="B661" i="2"/>
  <c r="C660" i="2"/>
  <c r="D660" i="2" s="1"/>
  <c r="E660" i="2" l="1"/>
  <c r="H660" i="2" s="1"/>
  <c r="C661" i="2" s="1"/>
  <c r="F661" i="2"/>
  <c r="B662" i="2"/>
  <c r="D661" i="2" l="1"/>
  <c r="E661" i="2" s="1"/>
  <c r="H661" i="2" s="1"/>
  <c r="C662" i="2" s="1"/>
  <c r="D662" i="2" s="1"/>
  <c r="E662" i="2" s="1"/>
  <c r="H662" i="2" s="1"/>
  <c r="F662" i="2"/>
  <c r="B663" i="2"/>
  <c r="C663" i="2" l="1"/>
  <c r="D663" i="2" s="1"/>
  <c r="B664" i="2"/>
  <c r="F663" i="2"/>
  <c r="E663" i="2" l="1"/>
  <c r="H663" i="2" s="1"/>
  <c r="C664" i="2" s="1"/>
  <c r="D664" i="2" s="1"/>
  <c r="E664" i="2" s="1"/>
  <c r="H664" i="2" s="1"/>
  <c r="F664" i="2"/>
  <c r="B665" i="2"/>
  <c r="C665" i="2" l="1"/>
  <c r="D665" i="2" s="1"/>
  <c r="E665" i="2" s="1"/>
  <c r="H665" i="2" s="1"/>
  <c r="F665" i="2"/>
  <c r="B666" i="2"/>
  <c r="F666" i="2" l="1"/>
  <c r="B667" i="2"/>
  <c r="D666" i="2"/>
  <c r="C666" i="2"/>
  <c r="E666" i="2" s="1"/>
  <c r="H666" i="2" s="1"/>
  <c r="C667" i="2" l="1"/>
  <c r="D667" i="2" s="1"/>
  <c r="E667" i="2" s="1"/>
  <c r="H667" i="2" s="1"/>
  <c r="B668" i="2"/>
  <c r="F667" i="2"/>
  <c r="C668" i="2" l="1"/>
  <c r="D668" i="2" s="1"/>
  <c r="E668" i="2" s="1"/>
  <c r="H668" i="2" s="1"/>
  <c r="B669" i="2"/>
  <c r="F668" i="2"/>
  <c r="C669" i="2" l="1"/>
  <c r="D669" i="2" s="1"/>
  <c r="E669" i="2" s="1"/>
  <c r="H669" i="2" s="1"/>
  <c r="F669" i="2"/>
  <c r="B670" i="2"/>
  <c r="F670" i="2" l="1"/>
  <c r="B671" i="2"/>
  <c r="D670" i="2"/>
  <c r="C670" i="2"/>
  <c r="E670" i="2" l="1"/>
  <c r="H670" i="2" s="1"/>
  <c r="C671" i="2" s="1"/>
  <c r="B672" i="2"/>
  <c r="F671" i="2"/>
  <c r="D671" i="2" l="1"/>
  <c r="E671" i="2" s="1"/>
  <c r="H671" i="2" s="1"/>
  <c r="C672" i="2" s="1"/>
  <c r="D672" i="2" s="1"/>
  <c r="E672" i="2" s="1"/>
  <c r="H672" i="2" s="1"/>
  <c r="F672" i="2"/>
  <c r="B673" i="2"/>
  <c r="C673" i="2" l="1"/>
  <c r="D673" i="2" s="1"/>
  <c r="E673" i="2" s="1"/>
  <c r="H673" i="2" s="1"/>
  <c r="F673" i="2"/>
  <c r="B674" i="2"/>
  <c r="C674" i="2" l="1"/>
  <c r="D674" i="2" s="1"/>
  <c r="F674" i="2"/>
  <c r="B675" i="2"/>
  <c r="E674" i="2" l="1"/>
  <c r="H674" i="2" s="1"/>
  <c r="F675" i="2"/>
  <c r="C675" i="2"/>
  <c r="D675" i="2" s="1"/>
  <c r="E675" i="2" s="1"/>
  <c r="H675" i="2" s="1"/>
  <c r="B676" i="2"/>
  <c r="C676" i="2" l="1"/>
  <c r="E676" i="2" s="1"/>
  <c r="H676" i="2" s="1"/>
  <c r="F676" i="2"/>
  <c r="B677" i="2"/>
  <c r="D676" i="2"/>
  <c r="C677" i="2" l="1"/>
  <c r="D677" i="2" s="1"/>
  <c r="E677" i="2" s="1"/>
  <c r="H677" i="2" s="1"/>
  <c r="F677" i="2"/>
  <c r="B678" i="2"/>
  <c r="F678" i="2" l="1"/>
  <c r="B679" i="2"/>
  <c r="D678" i="2"/>
  <c r="C678" i="2"/>
  <c r="E678" i="2" s="1"/>
  <c r="H678" i="2" s="1"/>
  <c r="B680" i="2" l="1"/>
  <c r="C679" i="2"/>
  <c r="D679" i="2" s="1"/>
  <c r="E679" i="2" s="1"/>
  <c r="H679" i="2" s="1"/>
  <c r="F679" i="2"/>
  <c r="C680" i="2" l="1"/>
  <c r="D680" i="2" s="1"/>
  <c r="F680" i="2"/>
  <c r="B681" i="2"/>
  <c r="E680" i="2" l="1"/>
  <c r="H680" i="2" s="1"/>
  <c r="C681" i="2" s="1"/>
  <c r="D681" i="2" s="1"/>
  <c r="E681" i="2" s="1"/>
  <c r="H681" i="2" s="1"/>
  <c r="F681" i="2"/>
  <c r="B682" i="2"/>
  <c r="C682" i="2" l="1"/>
  <c r="D682" i="2" s="1"/>
  <c r="E682" i="2" s="1"/>
  <c r="H682" i="2" s="1"/>
  <c r="F682" i="2"/>
  <c r="B683" i="2"/>
  <c r="F683" i="2" l="1"/>
  <c r="B684" i="2"/>
  <c r="C683" i="2"/>
  <c r="D683" i="2" s="1"/>
  <c r="E683" i="2" s="1"/>
  <c r="H683" i="2" s="1"/>
  <c r="C684" i="2" l="1"/>
  <c r="E684" i="2" s="1"/>
  <c r="H684" i="2" s="1"/>
  <c r="F684" i="2"/>
  <c r="B685" i="2"/>
  <c r="D684" i="2"/>
  <c r="B686" i="2" l="1"/>
  <c r="C685" i="2"/>
  <c r="D685" i="2" s="1"/>
  <c r="E685" i="2" s="1"/>
  <c r="H685" i="2" s="1"/>
  <c r="F685" i="2"/>
  <c r="F686" i="2" l="1"/>
  <c r="C686" i="2"/>
  <c r="D686" i="2" s="1"/>
  <c r="B687" i="2"/>
  <c r="E686" i="2" l="1"/>
  <c r="H686" i="2" s="1"/>
  <c r="C687" i="2" s="1"/>
  <c r="D687" i="2" s="1"/>
  <c r="E687" i="2" s="1"/>
  <c r="H687" i="2" s="1"/>
  <c r="F687" i="2"/>
  <c r="B688" i="2"/>
  <c r="C688" i="2" l="1"/>
  <c r="D688" i="2" s="1"/>
  <c r="E688" i="2" s="1"/>
  <c r="H688" i="2" s="1"/>
  <c r="F688" i="2"/>
  <c r="B689" i="2"/>
  <c r="C689" i="2" l="1"/>
  <c r="D689" i="2" s="1"/>
  <c r="E689" i="2" s="1"/>
  <c r="H689" i="2" s="1"/>
  <c r="F689" i="2"/>
  <c r="B690" i="2"/>
  <c r="C690" i="2" l="1"/>
  <c r="B691" i="2"/>
  <c r="D690" i="2"/>
  <c r="F690" i="2"/>
  <c r="E690" i="2" l="1"/>
  <c r="H690" i="2" s="1"/>
  <c r="C691" i="2" s="1"/>
  <c r="D691" i="2" s="1"/>
  <c r="E691" i="2" s="1"/>
  <c r="H691" i="2" s="1"/>
  <c r="F691" i="2"/>
  <c r="B692" i="2"/>
  <c r="C692" i="2" l="1"/>
  <c r="D692" i="2" s="1"/>
  <c r="E692" i="2" s="1"/>
  <c r="H692" i="2" s="1"/>
  <c r="F692" i="2"/>
  <c r="B693" i="2"/>
  <c r="C693" i="2" l="1"/>
  <c r="D693" i="2" s="1"/>
  <c r="E693" i="2" s="1"/>
  <c r="H693" i="2" s="1"/>
  <c r="F693" i="2"/>
  <c r="B694" i="2"/>
  <c r="F694" i="2" l="1"/>
  <c r="B695" i="2"/>
  <c r="C694" i="2"/>
  <c r="D694" i="2" s="1"/>
  <c r="E694" i="2" s="1"/>
  <c r="H694" i="2" s="1"/>
  <c r="F695" i="2" l="1"/>
  <c r="B696" i="2"/>
  <c r="C695" i="2"/>
  <c r="D695" i="2" s="1"/>
  <c r="E695" i="2" l="1"/>
  <c r="H695" i="2" s="1"/>
  <c r="C696" i="2" s="1"/>
  <c r="B697" i="2"/>
  <c r="F696" i="2"/>
  <c r="D696" i="2" l="1"/>
  <c r="E696" i="2" s="1"/>
  <c r="H696" i="2" s="1"/>
  <c r="C697" i="2" s="1"/>
  <c r="B698" i="2"/>
  <c r="F697" i="2"/>
  <c r="D697" i="2" l="1"/>
  <c r="E697" i="2" s="1"/>
  <c r="H697" i="2" s="1"/>
  <c r="C698" i="2" s="1"/>
  <c r="D698" i="2" s="1"/>
  <c r="E698" i="2" s="1"/>
  <c r="H698" i="2" s="1"/>
  <c r="B699" i="2"/>
  <c r="F698" i="2"/>
  <c r="C699" i="2" l="1"/>
  <c r="D699" i="2" s="1"/>
  <c r="E699" i="2" s="1"/>
  <c r="H699" i="2" s="1"/>
  <c r="F699" i="2"/>
  <c r="B700" i="2"/>
  <c r="C700" i="2" l="1"/>
  <c r="D700" i="2" s="1"/>
  <c r="E700" i="2" s="1"/>
  <c r="H700" i="2" s="1"/>
  <c r="F700" i="2"/>
  <c r="B701" i="2"/>
  <c r="C701" i="2" l="1"/>
  <c r="D701" i="2" s="1"/>
  <c r="E701" i="2" s="1"/>
  <c r="H701" i="2" s="1"/>
  <c r="B702" i="2"/>
  <c r="F701" i="2"/>
  <c r="C702" i="2" l="1"/>
  <c r="E702" i="2" s="1"/>
  <c r="H702" i="2" s="1"/>
  <c r="F702" i="2"/>
  <c r="B703" i="2"/>
  <c r="D702" i="2"/>
  <c r="C703" i="2" l="1"/>
  <c r="D703" i="2" s="1"/>
  <c r="E703" i="2" s="1"/>
  <c r="H703" i="2" s="1"/>
  <c r="F703" i="2"/>
  <c r="B704" i="2"/>
  <c r="C704" i="2" l="1"/>
  <c r="D704" i="2" s="1"/>
  <c r="E704" i="2" s="1"/>
  <c r="H704" i="2" s="1"/>
  <c r="F704" i="2"/>
  <c r="B705" i="2"/>
  <c r="F705" i="2" l="1"/>
  <c r="B706" i="2"/>
  <c r="D705" i="2"/>
  <c r="E705" i="2" s="1"/>
  <c r="H705" i="2" s="1"/>
  <c r="C705" i="2"/>
  <c r="C706" i="2" l="1"/>
  <c r="D706" i="2" s="1"/>
  <c r="E706" i="2" s="1"/>
  <c r="H706" i="2" s="1"/>
  <c r="F706" i="2"/>
  <c r="B707" i="2"/>
  <c r="C707" i="2" l="1"/>
  <c r="D707" i="2" s="1"/>
  <c r="E707" i="2" s="1"/>
  <c r="H707" i="2" s="1"/>
  <c r="F707" i="2"/>
  <c r="B708" i="2"/>
  <c r="C708" i="2" l="1"/>
  <c r="D708" i="2" s="1"/>
  <c r="E708" i="2" s="1"/>
  <c r="H708" i="2" s="1"/>
  <c r="F708" i="2"/>
  <c r="B709" i="2"/>
  <c r="C709" i="2" l="1"/>
  <c r="D709" i="2" s="1"/>
  <c r="E709" i="2" s="1"/>
  <c r="H709" i="2" s="1"/>
  <c r="F709" i="2"/>
  <c r="B710" i="2"/>
  <c r="F710" i="2" l="1"/>
  <c r="B711" i="2"/>
  <c r="D710" i="2"/>
  <c r="C710" i="2"/>
  <c r="E710" i="2" s="1"/>
  <c r="H710" i="2" s="1"/>
  <c r="B712" i="2" l="1"/>
  <c r="F711" i="2"/>
  <c r="C711" i="2"/>
  <c r="D711" i="2" s="1"/>
  <c r="E711" i="2" s="1"/>
  <c r="H711" i="2" s="1"/>
  <c r="F712" i="2" l="1"/>
  <c r="C712" i="2"/>
  <c r="D712" i="2"/>
  <c r="E712" i="2" s="1"/>
  <c r="H712" i="2" s="1"/>
  <c r="B713" i="2"/>
  <c r="D713" i="2" l="1"/>
  <c r="F713" i="2"/>
  <c r="C713" i="2"/>
  <c r="B714" i="2"/>
  <c r="E713" i="2" l="1"/>
  <c r="H713" i="2" s="1"/>
  <c r="C714" i="2" s="1"/>
  <c r="D714" i="2" s="1"/>
  <c r="E714" i="2" s="1"/>
  <c r="H714" i="2" s="1"/>
  <c r="B715" i="2"/>
  <c r="F714" i="2"/>
  <c r="C715" i="2" l="1"/>
  <c r="D715" i="2" s="1"/>
  <c r="E715" i="2" s="1"/>
  <c r="H715" i="2" s="1"/>
  <c r="F715" i="2"/>
  <c r="B716" i="2"/>
  <c r="C716" i="2" l="1"/>
  <c r="D716" i="2" s="1"/>
  <c r="E716" i="2" s="1"/>
  <c r="H716" i="2" s="1"/>
  <c r="B717" i="2"/>
  <c r="F716" i="2"/>
  <c r="C717" i="2" l="1"/>
  <c r="D717" i="2" s="1"/>
  <c r="E717" i="2" s="1"/>
  <c r="H717" i="2" s="1"/>
  <c r="F717" i="2"/>
  <c r="B718" i="2"/>
  <c r="C718" i="2" l="1"/>
  <c r="D718" i="2" s="1"/>
  <c r="E718" i="2" s="1"/>
  <c r="H718" i="2" s="1"/>
  <c r="B719" i="2"/>
  <c r="F718" i="2"/>
  <c r="C719" i="2" l="1"/>
  <c r="E719" i="2" s="1"/>
  <c r="H719" i="2" s="1"/>
  <c r="F719" i="2"/>
  <c r="B720" i="2"/>
  <c r="D719" i="2"/>
  <c r="B721" i="2" l="1"/>
  <c r="F720" i="2"/>
  <c r="C720" i="2"/>
  <c r="D720" i="2" s="1"/>
  <c r="E720" i="2" s="1"/>
  <c r="H720" i="2" s="1"/>
  <c r="C721" i="2" l="1"/>
  <c r="D721" i="2" s="1"/>
  <c r="E721" i="2" s="1"/>
  <c r="H721" i="2" s="1"/>
  <c r="F721" i="2"/>
  <c r="B722" i="2"/>
  <c r="C722" i="2" l="1"/>
  <c r="D722" i="2" s="1"/>
  <c r="E722" i="2" s="1"/>
  <c r="H722" i="2" s="1"/>
  <c r="F722" i="2"/>
  <c r="B723" i="2"/>
  <c r="C723" i="2" l="1"/>
  <c r="D723" i="2" s="1"/>
  <c r="E723" i="2" s="1"/>
  <c r="H723" i="2" s="1"/>
  <c r="F723" i="2"/>
  <c r="B724" i="2"/>
  <c r="C724" i="2" l="1"/>
  <c r="D724" i="2" s="1"/>
  <c r="E724" i="2" s="1"/>
  <c r="H724" i="2" s="1"/>
  <c r="F724" i="2"/>
  <c r="B725" i="2"/>
  <c r="C725" i="2" l="1"/>
  <c r="D725" i="2" s="1"/>
  <c r="E725" i="2" s="1"/>
  <c r="H725" i="2" s="1"/>
  <c r="F725" i="2"/>
  <c r="B726" i="2"/>
  <c r="F726" i="2" l="1"/>
  <c r="B727" i="2"/>
  <c r="D726" i="2"/>
  <c r="C726" i="2"/>
  <c r="E726" i="2" s="1"/>
  <c r="H726" i="2" s="1"/>
  <c r="B728" i="2" l="1"/>
  <c r="F727" i="2"/>
  <c r="C727" i="2"/>
  <c r="D727" i="2" s="1"/>
  <c r="E727" i="2" l="1"/>
  <c r="H727" i="2" s="1"/>
  <c r="F728" i="2"/>
  <c r="C728" i="2"/>
  <c r="D728" i="2" s="1"/>
  <c r="B729" i="2"/>
  <c r="E728" i="2" l="1"/>
  <c r="H728" i="2" s="1"/>
  <c r="C729" i="2" s="1"/>
  <c r="F729" i="2"/>
  <c r="B730" i="2"/>
  <c r="D729" i="2" l="1"/>
  <c r="E729" i="2"/>
  <c r="H729" i="2" s="1"/>
  <c r="C730" i="2" s="1"/>
  <c r="D730" i="2" s="1"/>
  <c r="E730" i="2" s="1"/>
  <c r="H730" i="2" s="1"/>
  <c r="F730" i="2"/>
  <c r="B731" i="2"/>
  <c r="F731" i="2" l="1"/>
  <c r="B732" i="2"/>
  <c r="D731" i="2"/>
  <c r="E731" i="2" s="1"/>
  <c r="H731" i="2" s="1"/>
  <c r="C731" i="2"/>
  <c r="C732" i="2" l="1"/>
  <c r="E732" i="2" s="1"/>
  <c r="H732" i="2" s="1"/>
  <c r="F732" i="2"/>
  <c r="B733" i="2"/>
  <c r="D732" i="2"/>
  <c r="B734" i="2" l="1"/>
  <c r="F733" i="2"/>
  <c r="D733" i="2"/>
  <c r="C733" i="2"/>
  <c r="E733" i="2" l="1"/>
  <c r="H733" i="2" s="1"/>
  <c r="B735" i="2"/>
  <c r="C734" i="2"/>
  <c r="D734" i="2" s="1"/>
  <c r="E734" i="2" s="1"/>
  <c r="H734" i="2" s="1"/>
  <c r="F734" i="2"/>
  <c r="D735" i="2" l="1"/>
  <c r="E735" i="2" s="1"/>
  <c r="H735" i="2" s="1"/>
  <c r="F735" i="2"/>
  <c r="B736" i="2"/>
  <c r="C735" i="2"/>
  <c r="F736" i="2" l="1"/>
  <c r="B737" i="2"/>
  <c r="C736" i="2"/>
  <c r="D736" i="2" s="1"/>
  <c r="E736" i="2" l="1"/>
  <c r="H736" i="2" s="1"/>
  <c r="B738" i="2"/>
  <c r="C737" i="2"/>
  <c r="D737" i="2" s="1"/>
  <c r="E737" i="2" s="1"/>
  <c r="H737" i="2" s="1"/>
  <c r="F737" i="2"/>
  <c r="C738" i="2" l="1"/>
  <c r="D738" i="2" s="1"/>
  <c r="E738" i="2" s="1"/>
  <c r="H738" i="2" s="1"/>
  <c r="F738" i="2"/>
  <c r="B739" i="2"/>
  <c r="C739" i="2" l="1"/>
  <c r="E739" i="2" s="1"/>
  <c r="H739" i="2" s="1"/>
  <c r="F739" i="2"/>
  <c r="B740" i="2"/>
  <c r="D739" i="2"/>
  <c r="F740" i="2" l="1"/>
  <c r="C740" i="2"/>
  <c r="B741" i="2"/>
  <c r="E740" i="2" l="1"/>
  <c r="H740" i="2" s="1"/>
  <c r="D740" i="2"/>
  <c r="C741" i="2"/>
  <c r="D741" i="2" s="1"/>
  <c r="E741" i="2" s="1"/>
  <c r="H741" i="2" s="1"/>
  <c r="F741" i="2"/>
  <c r="B742" i="2"/>
  <c r="C742" i="2" l="1"/>
  <c r="D742" i="2" s="1"/>
  <c r="E742" i="2" s="1"/>
  <c r="H742" i="2" s="1"/>
  <c r="F742" i="2"/>
  <c r="B743" i="2"/>
  <c r="C743" i="2" l="1"/>
  <c r="E743" i="2" s="1"/>
  <c r="H743" i="2" s="1"/>
  <c r="F743" i="2"/>
  <c r="B744" i="2"/>
  <c r="D743" i="2"/>
  <c r="C744" i="2" l="1"/>
  <c r="D744" i="2" s="1"/>
  <c r="E744" i="2" s="1"/>
  <c r="H744" i="2" s="1"/>
  <c r="F744" i="2"/>
  <c r="B745" i="2"/>
  <c r="C745" i="2" l="1"/>
  <c r="E745" i="2" s="1"/>
  <c r="H745" i="2" s="1"/>
  <c r="F745" i="2"/>
  <c r="B746" i="2"/>
  <c r="D745" i="2"/>
  <c r="F746" i="2" l="1"/>
  <c r="C746" i="2"/>
  <c r="D746" i="2" s="1"/>
  <c r="B747" i="2"/>
  <c r="E746" i="2" l="1"/>
  <c r="H746" i="2" s="1"/>
  <c r="C747" i="2" s="1"/>
  <c r="F747" i="2"/>
  <c r="B748" i="2"/>
  <c r="D747" i="2" l="1"/>
  <c r="E747" i="2" s="1"/>
  <c r="H747" i="2" s="1"/>
  <c r="C748" i="2" s="1"/>
  <c r="F748" i="2"/>
  <c r="B749" i="2"/>
  <c r="D748" i="2" l="1"/>
  <c r="E748" i="2" s="1"/>
  <c r="H748" i="2" s="1"/>
  <c r="C749" i="2" s="1"/>
  <c r="B750" i="2"/>
  <c r="F749" i="2"/>
  <c r="E749" i="2" l="1"/>
  <c r="H749" i="2" s="1"/>
  <c r="C750" i="2" s="1"/>
  <c r="D749" i="2"/>
  <c r="F750" i="2"/>
  <c r="B751" i="2"/>
  <c r="E750" i="2" l="1"/>
  <c r="H750" i="2" s="1"/>
  <c r="D750" i="2"/>
  <c r="C751" i="2"/>
  <c r="D751" i="2" s="1"/>
  <c r="F751" i="2"/>
  <c r="B752" i="2"/>
  <c r="E751" i="2" l="1"/>
  <c r="H751" i="2" s="1"/>
  <c r="C752" i="2" s="1"/>
  <c r="D752" i="2" s="1"/>
  <c r="E752" i="2" s="1"/>
  <c r="H752" i="2" s="1"/>
  <c r="F752" i="2"/>
  <c r="B753" i="2"/>
  <c r="F753" i="2" l="1"/>
  <c r="B754" i="2"/>
  <c r="C753" i="2"/>
  <c r="D753" i="2" s="1"/>
  <c r="E753" i="2" l="1"/>
  <c r="H753" i="2" s="1"/>
  <c r="C754" i="2" s="1"/>
  <c r="D754" i="2" s="1"/>
  <c r="E754" i="2" s="1"/>
  <c r="H754" i="2" s="1"/>
  <c r="F754" i="2"/>
  <c r="B755" i="2"/>
  <c r="C755" i="2" l="1"/>
  <c r="D755" i="2" s="1"/>
  <c r="E755" i="2" s="1"/>
  <c r="H755" i="2" s="1"/>
  <c r="F755" i="2"/>
  <c r="B756" i="2"/>
  <c r="B757" i="2" l="1"/>
  <c r="F756" i="2"/>
  <c r="C756" i="2"/>
  <c r="D756" i="2" s="1"/>
  <c r="E756" i="2" l="1"/>
  <c r="H756" i="2" s="1"/>
  <c r="C757" i="2" s="1"/>
  <c r="B758" i="2"/>
  <c r="F757" i="2"/>
  <c r="E757" i="2" l="1"/>
  <c r="H757" i="2" s="1"/>
  <c r="C758" i="2" s="1"/>
  <c r="D757" i="2"/>
  <c r="B759" i="2"/>
  <c r="F758" i="2"/>
  <c r="E758" i="2" l="1"/>
  <c r="H758" i="2" s="1"/>
  <c r="D758" i="2"/>
  <c r="C759" i="2"/>
  <c r="D759" i="2" s="1"/>
  <c r="E759" i="2" s="1"/>
  <c r="H759" i="2" s="1"/>
  <c r="F759" i="2"/>
  <c r="B760" i="2"/>
  <c r="B761" i="2" l="1"/>
  <c r="F760" i="2"/>
  <c r="C760" i="2"/>
  <c r="D760" i="2" s="1"/>
  <c r="E760" i="2" s="1"/>
  <c r="H760" i="2" s="1"/>
  <c r="F761" i="2" l="1"/>
  <c r="C761" i="2"/>
  <c r="B762" i="2"/>
  <c r="E761" i="2" l="1"/>
  <c r="H761" i="2" s="1"/>
  <c r="C762" i="2" s="1"/>
  <c r="D762" i="2" s="1"/>
  <c r="E762" i="2" s="1"/>
  <c r="H762" i="2" s="1"/>
  <c r="D761" i="2"/>
  <c r="F762" i="2"/>
  <c r="B763" i="2"/>
  <c r="C763" i="2" l="1"/>
  <c r="D763" i="2" s="1"/>
  <c r="E763" i="2" s="1"/>
  <c r="H763" i="2" s="1"/>
  <c r="F763" i="2"/>
  <c r="B764" i="2"/>
  <c r="F764" i="2" l="1"/>
  <c r="C764" i="2"/>
  <c r="D764" i="2" s="1"/>
  <c r="B765" i="2"/>
  <c r="E764" i="2" l="1"/>
  <c r="H764" i="2" s="1"/>
  <c r="B766" i="2"/>
  <c r="C765" i="2"/>
  <c r="D765" i="2" s="1"/>
  <c r="F765" i="2"/>
  <c r="E765" i="2" l="1"/>
  <c r="H765" i="2" s="1"/>
  <c r="C766" i="2" s="1"/>
  <c r="D766" i="2" s="1"/>
  <c r="E766" i="2" s="1"/>
  <c r="H766" i="2" s="1"/>
  <c r="F766" i="2"/>
  <c r="B767" i="2"/>
  <c r="F767" i="2" l="1"/>
  <c r="B768" i="2"/>
  <c r="D767" i="2"/>
  <c r="C767" i="2"/>
  <c r="E767" i="2" s="1"/>
  <c r="H767" i="2" s="1"/>
  <c r="D768" i="2" l="1"/>
  <c r="E768" i="2" s="1"/>
  <c r="H768" i="2" s="1"/>
  <c r="C768" i="2"/>
  <c r="B769" i="2"/>
  <c r="F768" i="2"/>
  <c r="F769" i="2" l="1"/>
  <c r="B770" i="2"/>
  <c r="C769" i="2"/>
  <c r="D769" i="2" s="1"/>
  <c r="E769" i="2" s="1"/>
  <c r="H769" i="2" s="1"/>
  <c r="F770" i="2" l="1"/>
  <c r="C770" i="2"/>
  <c r="D770" i="2" s="1"/>
  <c r="E770" i="2" s="1"/>
  <c r="H770" i="2" s="1"/>
  <c r="B771" i="2"/>
  <c r="C771" i="2" l="1"/>
  <c r="F771" i="2"/>
  <c r="B772" i="2"/>
  <c r="D771" i="2" l="1"/>
  <c r="E771" i="2" s="1"/>
  <c r="H771" i="2" s="1"/>
  <c r="C772" i="2" s="1"/>
  <c r="D772" i="2" s="1"/>
  <c r="E772" i="2" s="1"/>
  <c r="H772" i="2" s="1"/>
  <c r="F772" i="2"/>
  <c r="B773" i="2"/>
  <c r="F773" i="2" l="1"/>
  <c r="C773" i="2"/>
  <c r="D773" i="2" s="1"/>
  <c r="E773" i="2" s="1"/>
  <c r="H773" i="2" s="1"/>
  <c r="B774" i="2"/>
  <c r="F774" i="2" l="1"/>
  <c r="B775" i="2"/>
  <c r="C774" i="2"/>
  <c r="D774" i="2" s="1"/>
  <c r="E774" i="2" s="1"/>
  <c r="H774" i="2" s="1"/>
  <c r="C775" i="2" l="1"/>
  <c r="D775" i="2" s="1"/>
  <c r="E775" i="2" s="1"/>
  <c r="H775" i="2" s="1"/>
  <c r="F775" i="2"/>
  <c r="B776" i="2"/>
  <c r="C776" i="2" l="1"/>
  <c r="D776" i="2" s="1"/>
  <c r="E776" i="2" s="1"/>
  <c r="H776" i="2" s="1"/>
  <c r="B777" i="2"/>
  <c r="F776" i="2"/>
  <c r="F777" i="2" l="1"/>
  <c r="C777" i="2"/>
  <c r="D777" i="2" s="1"/>
  <c r="B778" i="2"/>
  <c r="E777" i="2" l="1"/>
  <c r="H777" i="2" s="1"/>
  <c r="C778" i="2" s="1"/>
  <c r="F778" i="2"/>
  <c r="B779" i="2"/>
  <c r="D778" i="2" l="1"/>
  <c r="E778" i="2" s="1"/>
  <c r="H778" i="2" s="1"/>
  <c r="C779" i="2" s="1"/>
  <c r="B780" i="2"/>
  <c r="F779" i="2"/>
  <c r="E779" i="2" l="1"/>
  <c r="H779" i="2" s="1"/>
  <c r="C780" i="2" s="1"/>
  <c r="D779" i="2"/>
  <c r="F780" i="2"/>
  <c r="B781" i="2"/>
  <c r="D780" i="2" l="1"/>
  <c r="E780" i="2" s="1"/>
  <c r="H780" i="2" s="1"/>
  <c r="C781" i="2" s="1"/>
  <c r="F781" i="2"/>
  <c r="B782" i="2"/>
  <c r="D781" i="2" l="1"/>
  <c r="E781" i="2" s="1"/>
  <c r="H781" i="2" s="1"/>
  <c r="C782" i="2" s="1"/>
  <c r="D782" i="2" s="1"/>
  <c r="E782" i="2" s="1"/>
  <c r="H782" i="2" s="1"/>
  <c r="B783" i="2"/>
  <c r="F782" i="2"/>
  <c r="F783" i="2" l="1"/>
  <c r="C783" i="2"/>
  <c r="D783" i="2"/>
  <c r="B784" i="2"/>
  <c r="E783" i="2" l="1"/>
  <c r="H783" i="2" s="1"/>
  <c r="C784" i="2" s="1"/>
  <c r="D784" i="2" s="1"/>
  <c r="E784" i="2" s="1"/>
  <c r="H784" i="2" s="1"/>
  <c r="F784" i="2"/>
  <c r="B785" i="2"/>
  <c r="C785" i="2" l="1"/>
  <c r="D785" i="2" s="1"/>
  <c r="E785" i="2" s="1"/>
  <c r="H785" i="2" s="1"/>
  <c r="F785" i="2"/>
  <c r="B786" i="2"/>
  <c r="C786" i="2" l="1"/>
  <c r="D786" i="2" s="1"/>
  <c r="E786" i="2" s="1"/>
  <c r="H786" i="2" s="1"/>
  <c r="F786" i="2"/>
  <c r="B787" i="2"/>
  <c r="C787" i="2" l="1"/>
  <c r="D787" i="2" s="1"/>
  <c r="E787" i="2" s="1"/>
  <c r="H787" i="2" s="1"/>
  <c r="F787" i="2"/>
  <c r="B788" i="2"/>
  <c r="C788" i="2" l="1"/>
  <c r="E788" i="2" s="1"/>
  <c r="H788" i="2" s="1"/>
  <c r="F788" i="2"/>
  <c r="B789" i="2"/>
  <c r="D788" i="2"/>
  <c r="B790" i="2" l="1"/>
  <c r="F789" i="2"/>
  <c r="C789" i="2"/>
  <c r="D789" i="2" s="1"/>
  <c r="E789" i="2" l="1"/>
  <c r="H789" i="2" s="1"/>
  <c r="C790" i="2" s="1"/>
  <c r="D790" i="2" s="1"/>
  <c r="E790" i="2" s="1"/>
  <c r="H790" i="2" s="1"/>
  <c r="F790" i="2"/>
  <c r="B791" i="2"/>
  <c r="C791" i="2" l="1"/>
  <c r="D791" i="2" s="1"/>
  <c r="E791" i="2" s="1"/>
  <c r="H791" i="2" s="1"/>
  <c r="F791" i="2"/>
  <c r="B792" i="2"/>
  <c r="C792" i="2" l="1"/>
  <c r="D792" i="2" s="1"/>
  <c r="E792" i="2" s="1"/>
  <c r="H792" i="2" s="1"/>
  <c r="F792" i="2"/>
  <c r="B793" i="2"/>
  <c r="F793" i="2" l="1"/>
  <c r="B794" i="2"/>
  <c r="C793" i="2"/>
  <c r="E793" i="2" l="1"/>
  <c r="H793" i="2" s="1"/>
  <c r="C794" i="2" s="1"/>
  <c r="D793" i="2"/>
  <c r="F794" i="2"/>
  <c r="B795" i="2"/>
  <c r="D794" i="2" l="1"/>
  <c r="E794" i="2" s="1"/>
  <c r="H794" i="2" s="1"/>
  <c r="C795" i="2" s="1"/>
  <c r="F795" i="2"/>
  <c r="B796" i="2"/>
  <c r="D795" i="2" l="1"/>
  <c r="E795" i="2" s="1"/>
  <c r="H795" i="2" s="1"/>
  <c r="C796" i="2" s="1"/>
  <c r="F796" i="2"/>
  <c r="B797" i="2"/>
  <c r="D796" i="2" l="1"/>
  <c r="E796" i="2" s="1"/>
  <c r="H796" i="2" s="1"/>
  <c r="C797" i="2" s="1"/>
  <c r="D797" i="2" s="1"/>
  <c r="E797" i="2" s="1"/>
  <c r="H797" i="2" s="1"/>
  <c r="B798" i="2"/>
  <c r="F797" i="2"/>
  <c r="C798" i="2" l="1"/>
  <c r="D798" i="2" s="1"/>
  <c r="E798" i="2" s="1"/>
  <c r="H798" i="2" s="1"/>
  <c r="F798" i="2"/>
  <c r="B799" i="2"/>
  <c r="C799" i="2" l="1"/>
  <c r="D799" i="2" s="1"/>
  <c r="E799" i="2" s="1"/>
  <c r="H799" i="2" s="1"/>
  <c r="F799" i="2"/>
  <c r="B800" i="2"/>
  <c r="C800" i="2" l="1"/>
  <c r="E800" i="2" s="1"/>
  <c r="H800" i="2" s="1"/>
  <c r="F800" i="2"/>
  <c r="B801" i="2"/>
  <c r="D800" i="2"/>
  <c r="D801" i="2" l="1"/>
  <c r="C801" i="2"/>
  <c r="F801" i="2"/>
  <c r="B802" i="2"/>
  <c r="E801" i="2" l="1"/>
  <c r="H801" i="2" s="1"/>
  <c r="C802" i="2" s="1"/>
  <c r="D802" i="2" s="1"/>
  <c r="E802" i="2" s="1"/>
  <c r="H802" i="2" s="1"/>
  <c r="F802" i="2"/>
  <c r="B803" i="2"/>
  <c r="C803" i="2" l="1"/>
  <c r="D803" i="2" s="1"/>
  <c r="F803" i="2"/>
  <c r="B804" i="2"/>
  <c r="E803" i="2" l="1"/>
  <c r="H803" i="2" s="1"/>
  <c r="C804" i="2" s="1"/>
  <c r="D804" i="2" s="1"/>
  <c r="E804" i="2" s="1"/>
  <c r="H804" i="2" s="1"/>
  <c r="F804" i="2"/>
  <c r="B805" i="2"/>
  <c r="C805" i="2" l="1"/>
  <c r="D805" i="2" s="1"/>
  <c r="E805" i="2" s="1"/>
  <c r="H805" i="2" s="1"/>
  <c r="F805" i="2"/>
  <c r="B806" i="2"/>
  <c r="F806" i="2" l="1"/>
  <c r="C806" i="2"/>
  <c r="D806" i="2" s="1"/>
  <c r="E806" i="2" s="1"/>
  <c r="H806" i="2" s="1"/>
  <c r="B807" i="2"/>
  <c r="C807" i="2" l="1"/>
  <c r="D807" i="2" s="1"/>
  <c r="E807" i="2" s="1"/>
  <c r="H807" i="2" s="1"/>
  <c r="F807" i="2"/>
  <c r="B808" i="2"/>
  <c r="F808" i="2" l="1"/>
  <c r="B809" i="2"/>
  <c r="D808" i="2"/>
  <c r="C808" i="2"/>
  <c r="E808" i="2" s="1"/>
  <c r="H808" i="2" s="1"/>
  <c r="B810" i="2" l="1"/>
  <c r="C809" i="2"/>
  <c r="D809" i="2" s="1"/>
  <c r="F809" i="2"/>
  <c r="E809" i="2" l="1"/>
  <c r="H809" i="2" s="1"/>
  <c r="C810" i="2" s="1"/>
  <c r="D810" i="2" s="1"/>
  <c r="E810" i="2" s="1"/>
  <c r="H810" i="2" s="1"/>
  <c r="F810" i="2"/>
  <c r="B811" i="2"/>
  <c r="C811" i="2" l="1"/>
  <c r="D811" i="2" s="1"/>
  <c r="E811" i="2" s="1"/>
  <c r="H811" i="2" s="1"/>
  <c r="F811" i="2"/>
  <c r="B812" i="2"/>
  <c r="F812" i="2" l="1"/>
  <c r="B813" i="2"/>
  <c r="D812" i="2"/>
  <c r="E812" i="2" s="1"/>
  <c r="H812" i="2" s="1"/>
  <c r="C812" i="2"/>
  <c r="C813" i="2" l="1"/>
  <c r="D813" i="2" s="1"/>
  <c r="E813" i="2" s="1"/>
  <c r="H813" i="2" s="1"/>
  <c r="F813" i="2"/>
  <c r="B814" i="2"/>
  <c r="C814" i="2" l="1"/>
  <c r="D814" i="2" s="1"/>
  <c r="E814" i="2" s="1"/>
  <c r="H814" i="2" s="1"/>
  <c r="F814" i="2"/>
  <c r="B815" i="2"/>
  <c r="C815" i="2" l="1"/>
  <c r="D815" i="2" s="1"/>
  <c r="E815" i="2" s="1"/>
  <c r="H815" i="2" s="1"/>
  <c r="F815" i="2"/>
  <c r="B816" i="2"/>
  <c r="B817" i="2" l="1"/>
  <c r="F816" i="2"/>
  <c r="C816" i="2"/>
  <c r="D816" i="2" s="1"/>
  <c r="E816" i="2" l="1"/>
  <c r="H816" i="2" s="1"/>
  <c r="C817" i="2" s="1"/>
  <c r="D817" i="2" s="1"/>
  <c r="E817" i="2" s="1"/>
  <c r="H817" i="2" s="1"/>
  <c r="B818" i="2"/>
  <c r="F817" i="2"/>
  <c r="C818" i="2" l="1"/>
  <c r="F818" i="2"/>
  <c r="B819" i="2"/>
  <c r="D818" i="2"/>
  <c r="E818" i="2" s="1"/>
  <c r="H818" i="2" s="1"/>
  <c r="B820" i="2" l="1"/>
  <c r="F819" i="2"/>
  <c r="C819" i="2"/>
  <c r="D819" i="2" s="1"/>
  <c r="E819" i="2" s="1"/>
  <c r="H819" i="2" s="1"/>
  <c r="C820" i="2" l="1"/>
  <c r="F820" i="2"/>
  <c r="B821" i="2"/>
  <c r="D820" i="2"/>
  <c r="E820" i="2" s="1"/>
  <c r="H820" i="2" s="1"/>
  <c r="C821" i="2" l="1"/>
  <c r="D821" i="2" s="1"/>
  <c r="E821" i="2" s="1"/>
  <c r="H821" i="2" s="1"/>
  <c r="F821" i="2"/>
  <c r="B822" i="2"/>
  <c r="C822" i="2" l="1"/>
  <c r="D822" i="2" s="1"/>
  <c r="E822" i="2" s="1"/>
  <c r="H822" i="2" s="1"/>
  <c r="F822" i="2"/>
  <c r="B823" i="2"/>
  <c r="C823" i="2" l="1"/>
  <c r="F823" i="2"/>
  <c r="B824" i="2"/>
  <c r="D823" i="2"/>
  <c r="E823" i="2" s="1"/>
  <c r="H823" i="2" s="1"/>
  <c r="C824" i="2" l="1"/>
  <c r="F824" i="2"/>
  <c r="B825" i="2"/>
  <c r="D824" i="2"/>
  <c r="E824" i="2" s="1"/>
  <c r="H824" i="2" s="1"/>
  <c r="C825" i="2" l="1"/>
  <c r="D825" i="2" s="1"/>
  <c r="E825" i="2" s="1"/>
  <c r="H825" i="2" s="1"/>
  <c r="F825" i="2"/>
  <c r="B826" i="2"/>
  <c r="C826" i="2" l="1"/>
  <c r="E826" i="2" s="1"/>
  <c r="H826" i="2" s="1"/>
  <c r="F826" i="2"/>
  <c r="B827" i="2"/>
  <c r="D826" i="2"/>
  <c r="B828" i="2" l="1"/>
  <c r="F827" i="2"/>
  <c r="D827" i="2"/>
  <c r="E827" i="2" s="1"/>
  <c r="H827" i="2" s="1"/>
  <c r="C827" i="2"/>
  <c r="C828" i="2" l="1"/>
  <c r="D828" i="2" s="1"/>
  <c r="E828" i="2" s="1"/>
  <c r="H828" i="2" s="1"/>
  <c r="F828" i="2"/>
  <c r="B829" i="2"/>
  <c r="C829" i="2" l="1"/>
  <c r="E829" i="2" s="1"/>
  <c r="H829" i="2" s="1"/>
  <c r="F829" i="2"/>
  <c r="B830" i="2"/>
  <c r="D829" i="2"/>
  <c r="F830" i="2" l="1"/>
  <c r="B831" i="2"/>
  <c r="C830" i="2"/>
  <c r="D830" i="2" s="1"/>
  <c r="E830" i="2" l="1"/>
  <c r="H830" i="2" s="1"/>
  <c r="C831" i="2" s="1"/>
  <c r="D831" i="2" s="1"/>
  <c r="E831" i="2" s="1"/>
  <c r="H831" i="2" s="1"/>
  <c r="F831" i="2"/>
  <c r="B832" i="2"/>
  <c r="C832" i="2" l="1"/>
  <c r="D832" i="2" s="1"/>
  <c r="E832" i="2" s="1"/>
  <c r="H832" i="2" s="1"/>
  <c r="F832" i="2"/>
  <c r="B833" i="2"/>
  <c r="C833" i="2" l="1"/>
  <c r="D833" i="2" s="1"/>
  <c r="E833" i="2" s="1"/>
  <c r="H833" i="2" s="1"/>
  <c r="F833" i="2"/>
  <c r="B834" i="2"/>
  <c r="C834" i="2" l="1"/>
  <c r="D834" i="2" s="1"/>
  <c r="E834" i="2" s="1"/>
  <c r="H834" i="2" s="1"/>
  <c r="F834" i="2"/>
  <c r="B835" i="2"/>
  <c r="C835" i="2" l="1"/>
  <c r="D835" i="2" s="1"/>
  <c r="E835" i="2" s="1"/>
  <c r="H835" i="2" s="1"/>
  <c r="F835" i="2"/>
  <c r="B836" i="2"/>
  <c r="C836" i="2" l="1"/>
  <c r="E836" i="2" s="1"/>
  <c r="H836" i="2" s="1"/>
  <c r="F836" i="2"/>
  <c r="B837" i="2"/>
  <c r="D836" i="2"/>
  <c r="C837" i="2" l="1"/>
  <c r="D837" i="2" s="1"/>
  <c r="E837" i="2" s="1"/>
  <c r="H837" i="2" s="1"/>
  <c r="B838" i="2"/>
  <c r="F837" i="2"/>
  <c r="C838" i="2" l="1"/>
  <c r="D838" i="2" s="1"/>
  <c r="E838" i="2" s="1"/>
  <c r="H838" i="2" s="1"/>
  <c r="F838" i="2"/>
  <c r="B839" i="2"/>
  <c r="C839" i="2" l="1"/>
  <c r="E839" i="2" s="1"/>
  <c r="H839" i="2" s="1"/>
  <c r="F839" i="2"/>
  <c r="B840" i="2"/>
  <c r="D839" i="2"/>
  <c r="F840" i="2" l="1"/>
  <c r="B841" i="2"/>
  <c r="D840" i="2"/>
  <c r="E840" i="2" s="1"/>
  <c r="H840" i="2" s="1"/>
  <c r="C840" i="2"/>
  <c r="C841" i="2" l="1"/>
  <c r="D841" i="2" s="1"/>
  <c r="E841" i="2" s="1"/>
  <c r="H841" i="2" s="1"/>
  <c r="F841" i="2"/>
  <c r="B842" i="2"/>
  <c r="C842" i="2" l="1"/>
  <c r="D842" i="2" s="1"/>
  <c r="E842" i="2" s="1"/>
  <c r="H842" i="2" s="1"/>
  <c r="F842" i="2"/>
  <c r="B843" i="2"/>
  <c r="C843" i="2" l="1"/>
  <c r="D843" i="2" s="1"/>
  <c r="E843" i="2" s="1"/>
  <c r="H843" i="2" s="1"/>
  <c r="F843" i="2"/>
  <c r="B844" i="2"/>
  <c r="C844" i="2" l="1"/>
  <c r="E844" i="2" s="1"/>
  <c r="H844" i="2" s="1"/>
  <c r="F844" i="2"/>
  <c r="B845" i="2"/>
  <c r="D844" i="2"/>
  <c r="C845" i="2" l="1"/>
  <c r="D845" i="2" s="1"/>
  <c r="E845" i="2" s="1"/>
  <c r="H845" i="2" s="1"/>
  <c r="B846" i="2"/>
  <c r="F845" i="2"/>
  <c r="B847" i="2" l="1"/>
  <c r="F846" i="2"/>
  <c r="C846" i="2"/>
  <c r="D846" i="2" s="1"/>
  <c r="E846" i="2" s="1"/>
  <c r="H846" i="2" s="1"/>
  <c r="C847" i="2" l="1"/>
  <c r="D847" i="2" s="1"/>
  <c r="E847" i="2" s="1"/>
  <c r="H847" i="2" s="1"/>
  <c r="B848" i="2"/>
  <c r="F847" i="2"/>
  <c r="C848" i="2" l="1"/>
  <c r="D848" i="2" s="1"/>
  <c r="E848" i="2" s="1"/>
  <c r="H848" i="2" s="1"/>
  <c r="F848" i="2"/>
  <c r="B849" i="2"/>
  <c r="C849" i="2" l="1"/>
  <c r="D849" i="2" s="1"/>
  <c r="E849" i="2" s="1"/>
  <c r="H849" i="2" s="1"/>
  <c r="F849" i="2"/>
  <c r="B850" i="2"/>
  <c r="F850" i="2" l="1"/>
  <c r="B851" i="2"/>
  <c r="D850" i="2"/>
  <c r="E850" i="2" s="1"/>
  <c r="H850" i="2" s="1"/>
  <c r="C850" i="2"/>
  <c r="C851" i="2" l="1"/>
  <c r="D851" i="2" s="1"/>
  <c r="E851" i="2" s="1"/>
  <c r="H851" i="2" s="1"/>
  <c r="F851" i="2"/>
  <c r="B852" i="2"/>
  <c r="C852" i="2" l="1"/>
  <c r="D852" i="2" s="1"/>
  <c r="E852" i="2" s="1"/>
  <c r="H852" i="2" s="1"/>
  <c r="F852" i="2"/>
  <c r="B853" i="2"/>
  <c r="C853" i="2" l="1"/>
  <c r="D853" i="2" s="1"/>
  <c r="E853" i="2" s="1"/>
  <c r="H853" i="2" s="1"/>
  <c r="F853" i="2"/>
  <c r="B854" i="2"/>
  <c r="C854" i="2" l="1"/>
  <c r="D854" i="2" s="1"/>
  <c r="E854" i="2" s="1"/>
  <c r="H854" i="2" s="1"/>
  <c r="F854" i="2"/>
  <c r="B855" i="2"/>
  <c r="C855" i="2" l="1"/>
  <c r="E855" i="2" s="1"/>
  <c r="H855" i="2" s="1"/>
  <c r="F855" i="2"/>
  <c r="B856" i="2"/>
  <c r="D855" i="2"/>
  <c r="F856" i="2" l="1"/>
  <c r="B857" i="2"/>
  <c r="D856" i="2"/>
  <c r="E856" i="2" s="1"/>
  <c r="H856" i="2" s="1"/>
  <c r="C856" i="2"/>
  <c r="C857" i="2" l="1"/>
  <c r="D857" i="2" s="1"/>
  <c r="E857" i="2" s="1"/>
  <c r="H857" i="2" s="1"/>
  <c r="F857" i="2"/>
  <c r="B858" i="2"/>
  <c r="C858" i="2" l="1"/>
  <c r="E858" i="2" s="1"/>
  <c r="H858" i="2" s="1"/>
  <c r="B859" i="2"/>
  <c r="F858" i="2"/>
  <c r="D858" i="2"/>
  <c r="B860" i="2" l="1"/>
  <c r="F859" i="2"/>
  <c r="C859" i="2"/>
  <c r="D859" i="2" s="1"/>
  <c r="E859" i="2" l="1"/>
  <c r="H859" i="2" s="1"/>
  <c r="C860" i="2" s="1"/>
  <c r="B861" i="2"/>
  <c r="F860" i="2"/>
  <c r="E860" i="2" l="1"/>
  <c r="H860" i="2" s="1"/>
  <c r="D860" i="2"/>
  <c r="C861" i="2"/>
  <c r="D861" i="2" s="1"/>
  <c r="E861" i="2" s="1"/>
  <c r="H861" i="2" s="1"/>
  <c r="F861" i="2"/>
  <c r="B862" i="2"/>
  <c r="C862" i="2" l="1"/>
  <c r="D862" i="2" s="1"/>
  <c r="E862" i="2" s="1"/>
  <c r="H862" i="2" s="1"/>
  <c r="F862" i="2"/>
  <c r="B863" i="2"/>
  <c r="C863" i="2" l="1"/>
  <c r="D863" i="2" s="1"/>
  <c r="E863" i="2" s="1"/>
  <c r="H863" i="2" s="1"/>
  <c r="F863" i="2"/>
  <c r="B864" i="2"/>
  <c r="C864" i="2" l="1"/>
  <c r="D864" i="2" s="1"/>
  <c r="E864" i="2" s="1"/>
  <c r="H864" i="2" s="1"/>
  <c r="F864" i="2"/>
  <c r="B865" i="2"/>
  <c r="C865" i="2" l="1"/>
  <c r="D865" i="2" s="1"/>
  <c r="E865" i="2" s="1"/>
  <c r="H865" i="2" s="1"/>
  <c r="F865" i="2"/>
  <c r="B866" i="2"/>
  <c r="C866" i="2" l="1"/>
  <c r="B867" i="2"/>
  <c r="F866" i="2"/>
  <c r="D866" i="2"/>
  <c r="E866" i="2" s="1"/>
  <c r="H866" i="2" s="1"/>
  <c r="C867" i="2" l="1"/>
  <c r="D867" i="2" s="1"/>
  <c r="E867" i="2" s="1"/>
  <c r="H867" i="2" s="1"/>
  <c r="B868" i="2"/>
  <c r="F867" i="2"/>
  <c r="C868" i="2" l="1"/>
  <c r="D868" i="2" s="1"/>
  <c r="E868" i="2" s="1"/>
  <c r="H868" i="2" s="1"/>
  <c r="F868" i="2"/>
  <c r="B869" i="2"/>
  <c r="C869" i="2" l="1"/>
  <c r="D869" i="2" s="1"/>
  <c r="E869" i="2" s="1"/>
  <c r="H869" i="2" s="1"/>
  <c r="B870" i="2"/>
  <c r="F869" i="2"/>
  <c r="C870" i="2" l="1"/>
  <c r="D870" i="2" s="1"/>
  <c r="E870" i="2" s="1"/>
  <c r="H870" i="2" s="1"/>
  <c r="F870" i="2"/>
  <c r="B871" i="2"/>
  <c r="C871" i="2" l="1"/>
  <c r="D871" i="2" s="1"/>
  <c r="E871" i="2" s="1"/>
  <c r="H871" i="2" s="1"/>
  <c r="F871" i="2"/>
  <c r="B872" i="2"/>
  <c r="B873" i="2" l="1"/>
  <c r="F872" i="2"/>
  <c r="C872" i="2"/>
  <c r="D872" i="2" s="1"/>
  <c r="E872" i="2" s="1"/>
  <c r="H872" i="2" s="1"/>
  <c r="F873" i="2" l="1"/>
  <c r="C873" i="2"/>
  <c r="D873" i="2" s="1"/>
  <c r="B874" i="2"/>
  <c r="E873" i="2" l="1"/>
  <c r="H873" i="2" s="1"/>
  <c r="C874" i="2" s="1"/>
  <c r="D874" i="2" s="1"/>
  <c r="E874" i="2" s="1"/>
  <c r="H874" i="2" s="1"/>
  <c r="F874" i="2"/>
  <c r="B875" i="2"/>
  <c r="C875" i="2" l="1"/>
  <c r="D875" i="2" s="1"/>
  <c r="E875" i="2" s="1"/>
  <c r="H875" i="2" s="1"/>
  <c r="F875" i="2"/>
  <c r="B876" i="2"/>
  <c r="C876" i="2" l="1"/>
  <c r="D876" i="2" s="1"/>
  <c r="E876" i="2" s="1"/>
  <c r="H876" i="2" s="1"/>
  <c r="B877" i="2"/>
  <c r="F876" i="2"/>
  <c r="C877" i="2" l="1"/>
  <c r="D877" i="2" s="1"/>
  <c r="E877" i="2" s="1"/>
  <c r="H877" i="2" s="1"/>
  <c r="B878" i="2"/>
  <c r="F877" i="2"/>
  <c r="C878" i="2" l="1"/>
  <c r="D878" i="2" s="1"/>
  <c r="E878" i="2" s="1"/>
  <c r="H878" i="2" s="1"/>
  <c r="B879" i="2"/>
  <c r="F878" i="2"/>
  <c r="B880" i="2" l="1"/>
  <c r="F879" i="2"/>
  <c r="C879" i="2"/>
  <c r="D879" i="2" s="1"/>
  <c r="E879" i="2" l="1"/>
  <c r="H879" i="2" s="1"/>
  <c r="C880" i="2" s="1"/>
  <c r="F880" i="2"/>
  <c r="B881" i="2"/>
  <c r="E880" i="2" l="1"/>
  <c r="H880" i="2" s="1"/>
  <c r="D880" i="2"/>
  <c r="F881" i="2"/>
  <c r="B882" i="2"/>
  <c r="C881" i="2"/>
  <c r="D881" i="2" l="1"/>
  <c r="E881" i="2" s="1"/>
  <c r="H881" i="2" s="1"/>
  <c r="C882" i="2" s="1"/>
  <c r="B883" i="2"/>
  <c r="F882" i="2"/>
  <c r="D882" i="2" l="1"/>
  <c r="E882" i="2" s="1"/>
  <c r="H882" i="2" s="1"/>
  <c r="C883" i="2" s="1"/>
  <c r="D883" i="2" s="1"/>
  <c r="E883" i="2" s="1"/>
  <c r="H883" i="2" s="1"/>
  <c r="B884" i="2"/>
  <c r="F883" i="2"/>
  <c r="C884" i="2" l="1"/>
  <c r="D884" i="2" s="1"/>
  <c r="E884" i="2" s="1"/>
  <c r="H884" i="2" s="1"/>
  <c r="F884" i="2"/>
  <c r="B885" i="2"/>
  <c r="C885" i="2" l="1"/>
  <c r="D885" i="2" s="1"/>
  <c r="E885" i="2" s="1"/>
  <c r="H885" i="2" s="1"/>
  <c r="F885" i="2"/>
  <c r="B886" i="2"/>
  <c r="B887" i="2" l="1"/>
  <c r="C886" i="2"/>
  <c r="D886" i="2" s="1"/>
  <c r="E886" i="2" s="1"/>
  <c r="H886" i="2" s="1"/>
  <c r="F886" i="2"/>
  <c r="C887" i="2" l="1"/>
  <c r="D887" i="2" s="1"/>
  <c r="E887" i="2" s="1"/>
  <c r="H887" i="2" s="1"/>
  <c r="F887" i="2"/>
  <c r="B888" i="2"/>
  <c r="B889" i="2" l="1"/>
  <c r="F888" i="2"/>
  <c r="C888" i="2"/>
  <c r="D888" i="2" s="1"/>
  <c r="E888" i="2" s="1"/>
  <c r="H888" i="2" s="1"/>
  <c r="C889" i="2" l="1"/>
  <c r="D889" i="2" s="1"/>
  <c r="B890" i="2"/>
  <c r="F889" i="2"/>
  <c r="E889" i="2" l="1"/>
  <c r="H889" i="2" s="1"/>
  <c r="C890" i="2" s="1"/>
  <c r="D890" i="2" s="1"/>
  <c r="E890" i="2" s="1"/>
  <c r="H890" i="2" s="1"/>
  <c r="F890" i="2"/>
  <c r="B891" i="2"/>
  <c r="C891" i="2" l="1"/>
  <c r="D891" i="2" s="1"/>
  <c r="E891" i="2" s="1"/>
  <c r="H891" i="2" s="1"/>
  <c r="F891" i="2"/>
  <c r="B892" i="2"/>
  <c r="C892" i="2" l="1"/>
  <c r="E892" i="2" s="1"/>
  <c r="H892" i="2" s="1"/>
  <c r="F892" i="2"/>
  <c r="B893" i="2"/>
  <c r="D892" i="2"/>
  <c r="C893" i="2" l="1"/>
  <c r="D893" i="2" s="1"/>
  <c r="E893" i="2" s="1"/>
  <c r="H893" i="2" s="1"/>
  <c r="F893" i="2"/>
  <c r="B894" i="2"/>
  <c r="B895" i="2" l="1"/>
  <c r="C894" i="2"/>
  <c r="D894" i="2" s="1"/>
  <c r="E894" i="2" s="1"/>
  <c r="H894" i="2" s="1"/>
  <c r="F894" i="2"/>
  <c r="C895" i="2" l="1"/>
  <c r="D895" i="2" s="1"/>
  <c r="E895" i="2" s="1"/>
  <c r="H895" i="2" s="1"/>
  <c r="F895" i="2"/>
  <c r="B896" i="2"/>
  <c r="C896" i="2" l="1"/>
  <c r="D896" i="2" s="1"/>
  <c r="E896" i="2" s="1"/>
  <c r="H896" i="2" s="1"/>
  <c r="F896" i="2"/>
  <c r="B897" i="2"/>
  <c r="F897" i="2" l="1"/>
  <c r="B898" i="2"/>
  <c r="D897" i="2"/>
  <c r="E897" i="2" s="1"/>
  <c r="H897" i="2" s="1"/>
  <c r="C897" i="2"/>
  <c r="C898" i="2" l="1"/>
  <c r="D898" i="2" s="1"/>
  <c r="E898" i="2" s="1"/>
  <c r="H898" i="2" s="1"/>
  <c r="F898" i="2"/>
  <c r="B899" i="2"/>
  <c r="C899" i="2" l="1"/>
  <c r="D899" i="2" s="1"/>
  <c r="E899" i="2" s="1"/>
  <c r="H899" i="2" s="1"/>
  <c r="F899" i="2"/>
  <c r="B900" i="2"/>
  <c r="F900" i="2" l="1"/>
  <c r="B901" i="2"/>
  <c r="D900" i="2"/>
  <c r="E900" i="2" s="1"/>
  <c r="H900" i="2" s="1"/>
  <c r="C900" i="2"/>
  <c r="C901" i="2" l="1"/>
  <c r="B902" i="2"/>
  <c r="F901" i="2"/>
  <c r="D901" i="2"/>
  <c r="E901" i="2" s="1"/>
  <c r="H901" i="2" s="1"/>
  <c r="C902" i="2" l="1"/>
  <c r="D902" i="2" s="1"/>
  <c r="E902" i="2" s="1"/>
  <c r="H902" i="2" s="1"/>
  <c r="F902" i="2"/>
  <c r="B903" i="2"/>
  <c r="C903" i="2" l="1"/>
  <c r="D903" i="2" s="1"/>
  <c r="E903" i="2" s="1"/>
  <c r="H903" i="2" s="1"/>
  <c r="B904" i="2"/>
  <c r="F903" i="2"/>
  <c r="C904" i="2" l="1"/>
  <c r="D904" i="2" s="1"/>
  <c r="B905" i="2"/>
  <c r="F904" i="2"/>
  <c r="E904" i="2" l="1"/>
  <c r="H904" i="2" s="1"/>
  <c r="C905" i="2" s="1"/>
  <c r="F905" i="2"/>
  <c r="B906" i="2"/>
  <c r="E905" i="2" l="1"/>
  <c r="H905" i="2" s="1"/>
  <c r="C906" i="2" s="1"/>
  <c r="D905" i="2"/>
  <c r="F906" i="2"/>
  <c r="B907" i="2"/>
  <c r="D906" i="2" l="1"/>
  <c r="E906" i="2"/>
  <c r="H906" i="2" s="1"/>
  <c r="C907" i="2" s="1"/>
  <c r="D907" i="2" s="1"/>
  <c r="E907" i="2" s="1"/>
  <c r="H907" i="2" s="1"/>
  <c r="F907" i="2"/>
  <c r="B908" i="2"/>
  <c r="C908" i="2" l="1"/>
  <c r="F908" i="2"/>
  <c r="B909" i="2"/>
  <c r="D908" i="2"/>
  <c r="E908" i="2" s="1"/>
  <c r="H908" i="2" s="1"/>
  <c r="C909" i="2" l="1"/>
  <c r="D909" i="2" s="1"/>
  <c r="E909" i="2" s="1"/>
  <c r="H909" i="2" s="1"/>
  <c r="F909" i="2"/>
  <c r="B910" i="2"/>
  <c r="C910" i="2" l="1"/>
  <c r="D910" i="2" s="1"/>
  <c r="E910" i="2" s="1"/>
  <c r="H910" i="2" s="1"/>
  <c r="F910" i="2"/>
  <c r="B911" i="2"/>
  <c r="B912" i="2" l="1"/>
  <c r="F911" i="2"/>
  <c r="D911" i="2"/>
  <c r="E911" i="2" s="1"/>
  <c r="H911" i="2" s="1"/>
  <c r="C911" i="2"/>
  <c r="F912" i="2" l="1"/>
  <c r="C912" i="2"/>
  <c r="D912" i="2" s="1"/>
  <c r="E912" i="2" s="1"/>
  <c r="H912" i="2" s="1"/>
  <c r="B913" i="2"/>
  <c r="C913" i="2" l="1"/>
  <c r="D913" i="2" s="1"/>
  <c r="E913" i="2" s="1"/>
  <c r="H913" i="2" s="1"/>
  <c r="B914" i="2"/>
  <c r="F913" i="2"/>
  <c r="C914" i="2" l="1"/>
  <c r="D914" i="2" s="1"/>
  <c r="E914" i="2" s="1"/>
  <c r="H914" i="2" s="1"/>
  <c r="B915" i="2"/>
  <c r="F914" i="2"/>
  <c r="C915" i="2" l="1"/>
  <c r="D915" i="2" s="1"/>
  <c r="E915" i="2" s="1"/>
  <c r="H915" i="2" s="1"/>
  <c r="B916" i="2"/>
  <c r="F915" i="2"/>
  <c r="C916" i="2" l="1"/>
  <c r="D916" i="2" s="1"/>
  <c r="E916" i="2" s="1"/>
  <c r="H916" i="2" s="1"/>
  <c r="F916" i="2"/>
  <c r="B917" i="2"/>
  <c r="C917" i="2" l="1"/>
  <c r="D917" i="2" s="1"/>
  <c r="E917" i="2" s="1"/>
  <c r="H917" i="2" s="1"/>
  <c r="B918" i="2"/>
  <c r="F917" i="2"/>
  <c r="C918" i="2" l="1"/>
  <c r="E918" i="2" s="1"/>
  <c r="H918" i="2" s="1"/>
  <c r="B919" i="2"/>
  <c r="F918" i="2"/>
  <c r="D918" i="2"/>
  <c r="C919" i="2" l="1"/>
  <c r="D919" i="2" s="1"/>
  <c r="E919" i="2" s="1"/>
  <c r="H919" i="2" s="1"/>
  <c r="B920" i="2"/>
  <c r="F919" i="2"/>
  <c r="B921" i="2" l="1"/>
  <c r="C920" i="2"/>
  <c r="D920" i="2" s="1"/>
  <c r="E920" i="2" s="1"/>
  <c r="H920" i="2" s="1"/>
  <c r="F920" i="2"/>
  <c r="C921" i="2" l="1"/>
  <c r="D921" i="2" s="1"/>
  <c r="B922" i="2"/>
  <c r="F921" i="2"/>
  <c r="E921" i="2" l="1"/>
  <c r="H921" i="2" s="1"/>
  <c r="C922" i="2" s="1"/>
  <c r="D922" i="2" s="1"/>
  <c r="E922" i="2" s="1"/>
  <c r="H922" i="2" s="1"/>
  <c r="F922" i="2"/>
  <c r="B923" i="2"/>
  <c r="C923" i="2" l="1"/>
  <c r="D923" i="2" s="1"/>
  <c r="E923" i="2" s="1"/>
  <c r="H923" i="2" s="1"/>
  <c r="F923" i="2"/>
  <c r="B924" i="2"/>
  <c r="F924" i="2" l="1"/>
  <c r="B925" i="2"/>
  <c r="C924" i="2"/>
  <c r="D924" i="2" s="1"/>
  <c r="E924" i="2" s="1"/>
  <c r="H924" i="2" s="1"/>
  <c r="B926" i="2" l="1"/>
  <c r="C925" i="2"/>
  <c r="D925" i="2"/>
  <c r="F925" i="2"/>
  <c r="E925" i="2" l="1"/>
  <c r="H925" i="2" s="1"/>
  <c r="C926" i="2" s="1"/>
  <c r="D926" i="2" s="1"/>
  <c r="E926" i="2" s="1"/>
  <c r="H926" i="2" s="1"/>
  <c r="F926" i="2"/>
  <c r="B927" i="2"/>
  <c r="F927" i="2" l="1"/>
  <c r="C927" i="2"/>
  <c r="D927" i="2" s="1"/>
  <c r="E927" i="2" s="1"/>
  <c r="H927" i="2" s="1"/>
  <c r="B928" i="2"/>
  <c r="C928" i="2" l="1"/>
  <c r="D928" i="2" s="1"/>
  <c r="E928" i="2" s="1"/>
  <c r="H928" i="2" s="1"/>
  <c r="F928" i="2"/>
  <c r="B929" i="2"/>
  <c r="C929" i="2" l="1"/>
  <c r="E929" i="2" s="1"/>
  <c r="H929" i="2" s="1"/>
  <c r="F929" i="2"/>
  <c r="B930" i="2"/>
  <c r="D929" i="2"/>
  <c r="C930" i="2" l="1"/>
  <c r="E930" i="2" s="1"/>
  <c r="H930" i="2" s="1"/>
  <c r="F930" i="2"/>
  <c r="B931" i="2"/>
  <c r="D930" i="2"/>
  <c r="C931" i="2" l="1"/>
  <c r="D931" i="2" s="1"/>
  <c r="E931" i="2" s="1"/>
  <c r="H931" i="2" s="1"/>
  <c r="F931" i="2"/>
  <c r="B932" i="2"/>
  <c r="F932" i="2" l="1"/>
  <c r="B933" i="2"/>
  <c r="C932" i="2"/>
  <c r="D932" i="2" s="1"/>
  <c r="E932" i="2" l="1"/>
  <c r="H932" i="2" s="1"/>
  <c r="F933" i="2"/>
  <c r="C933" i="2"/>
  <c r="D933" i="2" s="1"/>
  <c r="E933" i="2" s="1"/>
  <c r="H933" i="2" s="1"/>
  <c r="B934" i="2"/>
  <c r="C934" i="2" l="1"/>
  <c r="D934" i="2" s="1"/>
  <c r="B935" i="2"/>
  <c r="F934" i="2"/>
  <c r="E934" i="2" l="1"/>
  <c r="H934" i="2" s="1"/>
  <c r="C935" i="2" s="1"/>
  <c r="D935" i="2" s="1"/>
  <c r="E935" i="2" s="1"/>
  <c r="H935" i="2" s="1"/>
  <c r="F935" i="2"/>
  <c r="B936" i="2"/>
  <c r="C936" i="2" l="1"/>
  <c r="D936" i="2" s="1"/>
  <c r="B937" i="2"/>
  <c r="F936" i="2"/>
  <c r="E936" i="2" l="1"/>
  <c r="H936" i="2" s="1"/>
  <c r="B938" i="2"/>
  <c r="C937" i="2"/>
  <c r="D937" i="2" s="1"/>
  <c r="E937" i="2" s="1"/>
  <c r="H937" i="2" s="1"/>
  <c r="F937" i="2"/>
  <c r="C938" i="2" l="1"/>
  <c r="D938" i="2" s="1"/>
  <c r="E938" i="2" s="1"/>
  <c r="H938" i="2" s="1"/>
  <c r="B939" i="2"/>
  <c r="F938" i="2"/>
  <c r="C939" i="2" l="1"/>
  <c r="D939" i="2" s="1"/>
  <c r="E939" i="2" s="1"/>
  <c r="H939" i="2" s="1"/>
  <c r="F939" i="2"/>
  <c r="B940" i="2"/>
  <c r="F940" i="2" l="1"/>
  <c r="B941" i="2"/>
  <c r="D940" i="2"/>
  <c r="E940" i="2" s="1"/>
  <c r="H940" i="2" s="1"/>
  <c r="C940" i="2"/>
  <c r="C941" i="2" l="1"/>
  <c r="D941" i="2" s="1"/>
  <c r="E941" i="2" s="1"/>
  <c r="H941" i="2" s="1"/>
  <c r="F941" i="2"/>
  <c r="B942" i="2"/>
  <c r="C942" i="2" l="1"/>
  <c r="D942" i="2" s="1"/>
  <c r="E942" i="2" s="1"/>
  <c r="H942" i="2" s="1"/>
  <c r="F942" i="2"/>
  <c r="B943" i="2"/>
  <c r="F943" i="2" l="1"/>
  <c r="B944" i="2"/>
  <c r="D943" i="2"/>
  <c r="E943" i="2" s="1"/>
  <c r="H943" i="2" s="1"/>
  <c r="C943" i="2"/>
  <c r="C944" i="2" l="1"/>
  <c r="D944" i="2" s="1"/>
  <c r="B945" i="2"/>
  <c r="F944" i="2"/>
  <c r="E944" i="2" l="1"/>
  <c r="H944" i="2" s="1"/>
  <c r="B946" i="2"/>
  <c r="C945" i="2"/>
  <c r="D945" i="2" s="1"/>
  <c r="F945" i="2"/>
  <c r="E945" i="2" l="1"/>
  <c r="H945" i="2" s="1"/>
  <c r="C946" i="2" s="1"/>
  <c r="D946" i="2" s="1"/>
  <c r="E946" i="2" s="1"/>
  <c r="H946" i="2" s="1"/>
  <c r="B947" i="2"/>
  <c r="F946" i="2"/>
  <c r="C947" i="2" l="1"/>
  <c r="F947" i="2"/>
  <c r="B948" i="2"/>
  <c r="D947" i="2"/>
  <c r="E947" i="2" s="1"/>
  <c r="H947" i="2" s="1"/>
  <c r="C948" i="2" l="1"/>
  <c r="D948" i="2" s="1"/>
  <c r="E948" i="2" s="1"/>
  <c r="H948" i="2" s="1"/>
  <c r="F948" i="2"/>
  <c r="B949" i="2"/>
  <c r="C949" i="2" l="1"/>
  <c r="D949" i="2" s="1"/>
  <c r="F949" i="2"/>
  <c r="B950" i="2"/>
  <c r="E949" i="2" l="1"/>
  <c r="H949" i="2" s="1"/>
  <c r="C950" i="2" s="1"/>
  <c r="F950" i="2"/>
  <c r="B951" i="2"/>
  <c r="D950" i="2" l="1"/>
  <c r="E950" i="2" s="1"/>
  <c r="H950" i="2" s="1"/>
  <c r="C951" i="2" s="1"/>
  <c r="B952" i="2"/>
  <c r="F951" i="2"/>
  <c r="D951" i="2" l="1"/>
  <c r="E951" i="2" s="1"/>
  <c r="H951" i="2" s="1"/>
  <c r="C952" i="2" s="1"/>
  <c r="B953" i="2"/>
  <c r="F952" i="2"/>
  <c r="E952" i="2" l="1"/>
  <c r="H952" i="2" s="1"/>
  <c r="D952" i="2"/>
  <c r="F953" i="2"/>
  <c r="B954" i="2"/>
  <c r="C953" i="2"/>
  <c r="D953" i="2" s="1"/>
  <c r="E953" i="2" s="1"/>
  <c r="H953" i="2" s="1"/>
  <c r="F954" i="2" l="1"/>
  <c r="C954" i="2"/>
  <c r="D954" i="2" s="1"/>
  <c r="E954" i="2" s="1"/>
  <c r="H954" i="2" s="1"/>
  <c r="B955" i="2"/>
  <c r="F955" i="2" l="1"/>
  <c r="B956" i="2"/>
  <c r="C955" i="2"/>
  <c r="D955" i="2" s="1"/>
  <c r="E955" i="2" l="1"/>
  <c r="H955" i="2" s="1"/>
  <c r="C956" i="2" s="1"/>
  <c r="D956" i="2" s="1"/>
  <c r="E956" i="2" s="1"/>
  <c r="H956" i="2" s="1"/>
  <c r="F956" i="2"/>
  <c r="B957" i="2"/>
  <c r="C957" i="2" l="1"/>
  <c r="D957" i="2" s="1"/>
  <c r="E957" i="2" s="1"/>
  <c r="H957" i="2" s="1"/>
  <c r="F957" i="2"/>
  <c r="B958" i="2"/>
  <c r="C958" i="2" l="1"/>
  <c r="D958" i="2" s="1"/>
  <c r="E958" i="2" s="1"/>
  <c r="H958" i="2" s="1"/>
  <c r="B959" i="2"/>
  <c r="F958" i="2"/>
  <c r="C959" i="2" l="1"/>
  <c r="D959" i="2" s="1"/>
  <c r="E959" i="2" s="1"/>
  <c r="H959" i="2" s="1"/>
  <c r="F959" i="2"/>
  <c r="B960" i="2"/>
  <c r="C960" i="2" l="1"/>
  <c r="D960" i="2" s="1"/>
  <c r="E960" i="2" s="1"/>
  <c r="H960" i="2" s="1"/>
  <c r="F960" i="2"/>
  <c r="B961" i="2"/>
  <c r="C961" i="2" l="1"/>
  <c r="D961" i="2" s="1"/>
  <c r="E961" i="2" s="1"/>
  <c r="H961" i="2" s="1"/>
  <c r="B962" i="2"/>
  <c r="F961" i="2"/>
  <c r="C962" i="2" l="1"/>
  <c r="B963" i="2"/>
  <c r="D962" i="2"/>
  <c r="F962" i="2"/>
  <c r="E962" i="2" l="1"/>
  <c r="H962" i="2" s="1"/>
  <c r="C963" i="2" s="1"/>
  <c r="D963" i="2" s="1"/>
  <c r="E963" i="2" s="1"/>
  <c r="H963" i="2" s="1"/>
  <c r="B964" i="2"/>
  <c r="F963" i="2"/>
  <c r="F964" i="2" l="1"/>
  <c r="C964" i="2"/>
  <c r="D964" i="2" s="1"/>
  <c r="E964" i="2" s="1"/>
  <c r="H964" i="2" s="1"/>
  <c r="B965" i="2"/>
  <c r="C965" i="2" l="1"/>
  <c r="D965" i="2" s="1"/>
  <c r="E965" i="2" s="1"/>
  <c r="H965" i="2" s="1"/>
  <c r="F965" i="2"/>
  <c r="B966" i="2"/>
  <c r="C966" i="2" l="1"/>
  <c r="D966" i="2" s="1"/>
  <c r="E966" i="2" s="1"/>
  <c r="H966" i="2" s="1"/>
  <c r="F966" i="2"/>
  <c r="B967" i="2"/>
  <c r="C967" i="2" l="1"/>
  <c r="D967" i="2" s="1"/>
  <c r="E967" i="2" s="1"/>
  <c r="H967" i="2" s="1"/>
  <c r="F967" i="2"/>
  <c r="B968" i="2"/>
  <c r="C968" i="2" l="1"/>
  <c r="D968" i="2" s="1"/>
  <c r="E968" i="2" s="1"/>
  <c r="H968" i="2" s="1"/>
  <c r="F968" i="2"/>
  <c r="B969" i="2"/>
  <c r="C969" i="2" l="1"/>
  <c r="E969" i="2" s="1"/>
  <c r="H969" i="2" s="1"/>
  <c r="B970" i="2"/>
  <c r="F969" i="2"/>
  <c r="D969" i="2"/>
  <c r="C970" i="2" l="1"/>
  <c r="D970" i="2" s="1"/>
  <c r="E970" i="2" s="1"/>
  <c r="H970" i="2" s="1"/>
  <c r="B971" i="2"/>
  <c r="F970" i="2"/>
  <c r="C971" i="2" l="1"/>
  <c r="E971" i="2" s="1"/>
  <c r="H971" i="2" s="1"/>
  <c r="F971" i="2"/>
  <c r="B972" i="2"/>
  <c r="D971" i="2"/>
  <c r="C972" i="2" l="1"/>
  <c r="D972" i="2" s="1"/>
  <c r="E972" i="2" s="1"/>
  <c r="H972" i="2" s="1"/>
  <c r="F972" i="2"/>
  <c r="B973" i="2"/>
  <c r="C973" i="2" l="1"/>
  <c r="D973" i="2" s="1"/>
  <c r="E973" i="2" s="1"/>
  <c r="H973" i="2" s="1"/>
  <c r="F973" i="2"/>
  <c r="B974" i="2"/>
  <c r="F974" i="2" l="1"/>
  <c r="B975" i="2"/>
  <c r="D974" i="2"/>
  <c r="C974" i="2"/>
  <c r="E974" i="2" s="1"/>
  <c r="H974" i="2" s="1"/>
  <c r="C975" i="2" l="1"/>
  <c r="D975" i="2" s="1"/>
  <c r="E975" i="2" s="1"/>
  <c r="H975" i="2" s="1"/>
  <c r="F975" i="2"/>
  <c r="B976" i="2"/>
  <c r="C976" i="2" l="1"/>
  <c r="D976" i="2" s="1"/>
  <c r="E976" i="2" s="1"/>
  <c r="H976" i="2" s="1"/>
  <c r="F976" i="2"/>
  <c r="B977" i="2"/>
  <c r="C977" i="2" l="1"/>
  <c r="D977" i="2" s="1"/>
  <c r="E977" i="2" s="1"/>
  <c r="H977" i="2" s="1"/>
  <c r="F977" i="2"/>
  <c r="B978" i="2"/>
  <c r="C978" i="2" l="1"/>
  <c r="D978" i="2" s="1"/>
  <c r="E978" i="2" s="1"/>
  <c r="H978" i="2" s="1"/>
  <c r="F978" i="2"/>
  <c r="B979" i="2"/>
  <c r="C979" i="2" l="1"/>
  <c r="D979" i="2" s="1"/>
  <c r="E979" i="2" s="1"/>
  <c r="H979" i="2" s="1"/>
  <c r="B980" i="2"/>
  <c r="F979" i="2"/>
  <c r="C980" i="2" l="1"/>
  <c r="D980" i="2" s="1"/>
  <c r="E980" i="2" s="1"/>
  <c r="H980" i="2" s="1"/>
  <c r="F980" i="2"/>
  <c r="B981" i="2"/>
  <c r="C981" i="2" l="1"/>
  <c r="D981" i="2" s="1"/>
  <c r="E981" i="2" s="1"/>
  <c r="H981" i="2" s="1"/>
  <c r="B982" i="2"/>
  <c r="F981" i="2"/>
  <c r="C982" i="2" l="1"/>
  <c r="D982" i="2" s="1"/>
  <c r="E982" i="2" s="1"/>
  <c r="H982" i="2" s="1"/>
  <c r="F982" i="2"/>
  <c r="B983" i="2"/>
  <c r="C983" i="2" l="1"/>
  <c r="D983" i="2" s="1"/>
  <c r="E983" i="2" s="1"/>
  <c r="H983" i="2" s="1"/>
  <c r="B984" i="2"/>
  <c r="F983" i="2"/>
  <c r="C984" i="2" l="1"/>
  <c r="D984" i="2" s="1"/>
  <c r="E984" i="2" s="1"/>
  <c r="H984" i="2" s="1"/>
  <c r="F984" i="2"/>
  <c r="B985" i="2"/>
  <c r="C985" i="2" l="1"/>
  <c r="D985" i="2" s="1"/>
  <c r="E985" i="2" s="1"/>
  <c r="H985" i="2" s="1"/>
  <c r="F985" i="2"/>
  <c r="B986" i="2"/>
  <c r="C986" i="2" l="1"/>
  <c r="D986" i="2" s="1"/>
  <c r="E986" i="2" s="1"/>
  <c r="H986" i="2" s="1"/>
  <c r="F986" i="2"/>
  <c r="B987" i="2"/>
  <c r="C987" i="2" l="1"/>
  <c r="D987" i="2" s="1"/>
  <c r="E987" i="2" s="1"/>
  <c r="H987" i="2" s="1"/>
  <c r="F987" i="2"/>
  <c r="B988" i="2"/>
  <c r="F988" i="2" l="1"/>
  <c r="B989" i="2"/>
  <c r="D988" i="2"/>
  <c r="E988" i="2" s="1"/>
  <c r="H988" i="2" s="1"/>
  <c r="C988" i="2"/>
  <c r="F989" i="2" l="1"/>
  <c r="B990" i="2"/>
  <c r="D989" i="2"/>
  <c r="C989" i="2"/>
  <c r="E989" i="2" s="1"/>
  <c r="H989" i="2" s="1"/>
  <c r="F990" i="2" l="1"/>
  <c r="C990" i="2"/>
  <c r="D990" i="2" s="1"/>
  <c r="E990" i="2" s="1"/>
  <c r="H990" i="2" s="1"/>
  <c r="B991" i="2"/>
  <c r="C991" i="2" l="1"/>
  <c r="D991" i="2" s="1"/>
  <c r="E991" i="2" s="1"/>
  <c r="H991" i="2" s="1"/>
  <c r="F991" i="2"/>
  <c r="B992" i="2"/>
  <c r="F992" i="2" l="1"/>
  <c r="B993" i="2"/>
  <c r="D992" i="2"/>
  <c r="E992" i="2" s="1"/>
  <c r="H992" i="2" s="1"/>
  <c r="C992" i="2"/>
  <c r="C993" i="2" l="1"/>
  <c r="D993" i="2" s="1"/>
  <c r="E993" i="2" s="1"/>
  <c r="H993" i="2" s="1"/>
  <c r="F993" i="2"/>
  <c r="B994" i="2"/>
  <c r="C994" i="2" l="1"/>
  <c r="D994" i="2" s="1"/>
  <c r="F994" i="2"/>
  <c r="B995" i="2"/>
  <c r="E994" i="2" l="1"/>
  <c r="H994" i="2" s="1"/>
  <c r="C995" i="2" s="1"/>
  <c r="F995" i="2"/>
  <c r="B996" i="2"/>
  <c r="E995" i="2" l="1"/>
  <c r="H995" i="2" s="1"/>
  <c r="C996" i="2" s="1"/>
  <c r="D995" i="2"/>
  <c r="B997" i="2"/>
  <c r="F996" i="2"/>
  <c r="D996" i="2" l="1"/>
  <c r="E996" i="2" s="1"/>
  <c r="H996" i="2" s="1"/>
  <c r="C997" i="2" s="1"/>
  <c r="D997" i="2" s="1"/>
  <c r="E997" i="2" s="1"/>
  <c r="H997" i="2" s="1"/>
  <c r="B998" i="2"/>
  <c r="F997" i="2"/>
  <c r="C998" i="2" l="1"/>
  <c r="D998" i="2" s="1"/>
  <c r="E998" i="2" s="1"/>
  <c r="H998" i="2" s="1"/>
  <c r="F998" i="2"/>
  <c r="B999" i="2"/>
  <c r="C999" i="2" l="1"/>
  <c r="D999" i="2" s="1"/>
  <c r="E999" i="2" s="1"/>
  <c r="H999" i="2" s="1"/>
  <c r="F999" i="2"/>
  <c r="B1000" i="2"/>
  <c r="C1000" i="2" l="1"/>
  <c r="D1000" i="2" s="1"/>
  <c r="E1000" i="2" s="1"/>
  <c r="H1000" i="2" s="1"/>
  <c r="F1000" i="2"/>
  <c r="B1001" i="2"/>
  <c r="C1001" i="2" l="1"/>
  <c r="D1001" i="2" s="1"/>
  <c r="E1001" i="2" s="1"/>
  <c r="H1001" i="2" s="1"/>
  <c r="B1002" i="2"/>
  <c r="F1001" i="2"/>
  <c r="C1002" i="2" l="1"/>
  <c r="D1002" i="2" s="1"/>
  <c r="E1002" i="2" s="1"/>
  <c r="H1002" i="2" s="1"/>
  <c r="F1002" i="2"/>
  <c r="B1003" i="2"/>
  <c r="C1003" i="2" l="1"/>
  <c r="D1003" i="2" s="1"/>
  <c r="E1003" i="2" s="1"/>
  <c r="H1003" i="2" s="1"/>
  <c r="F1003" i="2"/>
  <c r="B1004" i="2"/>
  <c r="F1004" i="2" l="1"/>
  <c r="B1005" i="2"/>
  <c r="C1004" i="2"/>
  <c r="D1004" i="2" s="1"/>
  <c r="E1004" i="2" s="1"/>
  <c r="H1004" i="2" s="1"/>
  <c r="C1005" i="2" l="1"/>
  <c r="D1005" i="2" s="1"/>
  <c r="E1005" i="2" s="1"/>
  <c r="H1005" i="2" s="1"/>
  <c r="F1005" i="2"/>
  <c r="B1006" i="2"/>
  <c r="B1007" i="2" l="1"/>
  <c r="F1006" i="2"/>
  <c r="C1006" i="2"/>
  <c r="D1006" i="2" s="1"/>
  <c r="E1006" i="2" s="1"/>
  <c r="H1006" i="2" s="1"/>
  <c r="C1007" i="2" l="1"/>
  <c r="D1007" i="2" s="1"/>
  <c r="E1007" i="2" s="1"/>
  <c r="H1007" i="2" s="1"/>
  <c r="B1008" i="2"/>
  <c r="F1007" i="2"/>
  <c r="C1008" i="2" l="1"/>
  <c r="E1008" i="2" s="1"/>
  <c r="H1008" i="2" s="1"/>
  <c r="F1008" i="2"/>
  <c r="B1009" i="2"/>
  <c r="D1008" i="2"/>
  <c r="C1009" i="2" l="1"/>
  <c r="D1009" i="2" s="1"/>
  <c r="E1009" i="2" s="1"/>
  <c r="H1009" i="2" s="1"/>
  <c r="B1010" i="2"/>
  <c r="F1009" i="2"/>
  <c r="C1010" i="2" l="1"/>
  <c r="D1010" i="2" s="1"/>
  <c r="E1010" i="2" s="1"/>
  <c r="H1010" i="2" s="1"/>
  <c r="B1011" i="2"/>
  <c r="F1010" i="2"/>
  <c r="C1011" i="2" l="1"/>
  <c r="D1011" i="2" s="1"/>
  <c r="E1011" i="2" s="1"/>
  <c r="H1011" i="2" s="1"/>
  <c r="F1011" i="2"/>
  <c r="B1012" i="2"/>
  <c r="C1012" i="2" l="1"/>
  <c r="D1012" i="2" s="1"/>
  <c r="E1012" i="2" s="1"/>
  <c r="H1012" i="2" s="1"/>
  <c r="F1012" i="2"/>
  <c r="B1013" i="2"/>
  <c r="C1013" i="2" l="1"/>
  <c r="D1013" i="2" s="1"/>
  <c r="E1013" i="2" s="1"/>
  <c r="H1013" i="2" s="1"/>
  <c r="F1013" i="2"/>
  <c r="B1014" i="2"/>
  <c r="C1014" i="2" l="1"/>
  <c r="D1014" i="2" s="1"/>
  <c r="E1014" i="2" s="1"/>
  <c r="H1014" i="2" s="1"/>
  <c r="F1014" i="2"/>
  <c r="B1015" i="2"/>
  <c r="C1015" i="2" l="1"/>
  <c r="D1015" i="2" s="1"/>
  <c r="E1015" i="2" s="1"/>
  <c r="H1015" i="2" s="1"/>
  <c r="F1015" i="2"/>
  <c r="B1016" i="2"/>
  <c r="F1016" i="2" l="1"/>
  <c r="B1017" i="2"/>
  <c r="D1016" i="2"/>
  <c r="C1016" i="2"/>
  <c r="E1016" i="2" s="1"/>
  <c r="H1016" i="2" s="1"/>
  <c r="C1017" i="2" l="1"/>
  <c r="E1017" i="2" s="1"/>
  <c r="H1017" i="2" s="1"/>
  <c r="F1017" i="2"/>
  <c r="B1018" i="2"/>
  <c r="D1017" i="2"/>
  <c r="C1018" i="2" l="1"/>
  <c r="D1018" i="2" s="1"/>
  <c r="E1018" i="2" s="1"/>
  <c r="H1018" i="2" s="1"/>
  <c r="F1018" i="2"/>
  <c r="B1019" i="2"/>
  <c r="C1019" i="2" l="1"/>
  <c r="D1019" i="2" s="1"/>
  <c r="E1019" i="2" s="1"/>
  <c r="H1019" i="2" s="1"/>
  <c r="F1019" i="2"/>
  <c r="B1020" i="2"/>
  <c r="B1021" i="2" l="1"/>
  <c r="F1020" i="2"/>
  <c r="C1020" i="2"/>
  <c r="D1020" i="2" l="1"/>
  <c r="E1020" i="2" s="1"/>
  <c r="H1020" i="2" s="1"/>
  <c r="C1021" i="2" s="1"/>
  <c r="D1021" i="2" s="1"/>
  <c r="E1021" i="2" s="1"/>
  <c r="H1021" i="2" s="1"/>
  <c r="B1022" i="2"/>
  <c r="F1021" i="2"/>
  <c r="C1022" i="2" l="1"/>
  <c r="F1022" i="2"/>
  <c r="B1023" i="2"/>
  <c r="E1022" i="2" l="1"/>
  <c r="H1022" i="2" s="1"/>
  <c r="C1023" i="2" s="1"/>
  <c r="D1023" i="2" s="1"/>
  <c r="E1023" i="2" s="1"/>
  <c r="H1023" i="2" s="1"/>
  <c r="D1022" i="2"/>
  <c r="B1024" i="2"/>
  <c r="F1023" i="2"/>
  <c r="C1024" i="2" l="1"/>
  <c r="D1024" i="2" s="1"/>
  <c r="E1024" i="2" s="1"/>
  <c r="H1024" i="2" s="1"/>
  <c r="B1025" i="2"/>
  <c r="F1024" i="2"/>
  <c r="C1025" i="2" l="1"/>
  <c r="D1025" i="2" s="1"/>
  <c r="E1025" i="2" s="1"/>
  <c r="H1025" i="2" s="1"/>
  <c r="F1025" i="2"/>
  <c r="B1026" i="2"/>
  <c r="C1026" i="2" l="1"/>
  <c r="E1026" i="2" s="1"/>
  <c r="H1026" i="2" s="1"/>
  <c r="F1026" i="2"/>
  <c r="I6" i="2" s="1"/>
  <c r="H6" i="2" s="1"/>
  <c r="D1026" i="2"/>
  <c r="H7" i="2" s="1"/>
  <c r="H8" i="2" l="1"/>
</calcChain>
</file>

<file path=xl/sharedStrings.xml><?xml version="1.0" encoding="utf-8"?>
<sst xmlns="http://schemas.openxmlformats.org/spreadsheetml/2006/main" count="18" uniqueCount="17">
  <si>
    <t>Juros</t>
  </si>
  <si>
    <t>Prazo (meses)</t>
  </si>
  <si>
    <t>Saldo Inicial</t>
  </si>
  <si>
    <t>Investimento Inicial</t>
  </si>
  <si>
    <t>Investimento Mensal</t>
  </si>
  <si>
    <t>Saldo Final</t>
  </si>
  <si>
    <t>Juros Recebidos</t>
  </si>
  <si>
    <t>Investimentos</t>
  </si>
  <si>
    <t>Saldo total</t>
  </si>
  <si>
    <t>fffff</t>
  </si>
  <si>
    <t>Mês</t>
  </si>
  <si>
    <t>Investimento Adicional</t>
  </si>
  <si>
    <t>Saldo + Juros</t>
  </si>
  <si>
    <t>Rentabilidade (Mês)</t>
  </si>
  <si>
    <t>Rótulos de Linha</t>
  </si>
  <si>
    <t>Total Geral</t>
  </si>
  <si>
    <t>Soma de Saldo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</si>
</sst>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#,##0.00\ \ "/>
    <numFmt numFmtId="166" formatCode="0\ "/>
    <numFmt numFmtId="167" formatCode="@\ \ "/>
  </numFmts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0"/>
      <name val="Calibri"/>
      <family val="2"/>
      <scheme val="minor"/>
    </font>
    <font>
      <sz val="12"/>
      <color indexed="8"/>
      <name val="Arial"/>
      <family val="2"/>
    </font>
    <font>
      <sz val="8"/>
      <color indexed="8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20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mediumGray">
        <fgColor indexed="9"/>
        <bgColor theme="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mediumGray">
        <fgColor indexed="9"/>
        <bgColor theme="0" tint="-0.34998626667073579"/>
      </patternFill>
    </fill>
    <fill>
      <patternFill patternType="mediumGray">
        <fgColor indexed="9"/>
        <bgColor theme="0" tint="-4.9989318521683403E-2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68">
    <xf numFmtId="0" fontId="0" fillId="0" borderId="0" xfId="0"/>
    <xf numFmtId="0" fontId="2" fillId="0" borderId="0" xfId="0" applyFont="1" applyFill="1" applyBorder="1"/>
    <xf numFmtId="164" fontId="2" fillId="0" borderId="0" xfId="0" applyNumberFormat="1" applyFont="1" applyFill="1" applyBorder="1"/>
    <xf numFmtId="9" fontId="2" fillId="0" borderId="0" xfId="2" applyFont="1" applyFill="1" applyBorder="1"/>
    <xf numFmtId="0" fontId="5" fillId="2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 applyAlignment="1" applyProtection="1">
      <alignment horizontal="right" vertical="center"/>
      <protection hidden="1"/>
    </xf>
    <xf numFmtId="164" fontId="5" fillId="2" borderId="0" xfId="1" applyFont="1" applyFill="1" applyBorder="1"/>
    <xf numFmtId="165" fontId="5" fillId="2" borderId="1" xfId="0" applyNumberFormat="1" applyFont="1" applyFill="1" applyBorder="1" applyAlignment="1" applyProtection="1">
      <alignment vertical="center"/>
      <protection hidden="1"/>
    </xf>
    <xf numFmtId="165" fontId="5" fillId="3" borderId="1" xfId="0" applyNumberFormat="1" applyFont="1" applyFill="1" applyBorder="1" applyAlignment="1" applyProtection="1">
      <alignment vertical="center"/>
      <protection hidden="1"/>
    </xf>
    <xf numFmtId="0" fontId="5" fillId="2" borderId="1" xfId="0" applyFont="1" applyFill="1" applyBorder="1"/>
    <xf numFmtId="43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0" borderId="0" xfId="0" applyFont="1" applyFill="1" applyBorder="1"/>
    <xf numFmtId="0" fontId="12" fillId="0" borderId="0" xfId="0" applyFont="1" applyFill="1" applyBorder="1"/>
    <xf numFmtId="0" fontId="8" fillId="2" borderId="0" xfId="0" applyFont="1" applyFill="1" applyBorder="1" applyAlignment="1">
      <alignment horizontal="center" vertical="center"/>
    </xf>
    <xf numFmtId="165" fontId="5" fillId="6" borderId="1" xfId="0" applyNumberFormat="1" applyFont="1" applyFill="1" applyBorder="1" applyAlignment="1" applyProtection="1">
      <alignment vertical="center"/>
      <protection hidden="1"/>
    </xf>
    <xf numFmtId="165" fontId="13" fillId="2" borderId="0" xfId="0" applyNumberFormat="1" applyFont="1" applyFill="1" applyBorder="1"/>
    <xf numFmtId="0" fontId="14" fillId="2" borderId="0" xfId="0" applyFont="1" applyFill="1" applyBorder="1" applyAlignment="1">
      <alignment wrapText="1"/>
    </xf>
    <xf numFmtId="165" fontId="15" fillId="2" borderId="0" xfId="0" applyNumberFormat="1" applyFont="1" applyFill="1" applyBorder="1" applyAlignment="1">
      <alignment wrapText="1"/>
    </xf>
    <xf numFmtId="0" fontId="11" fillId="0" borderId="0" xfId="0" applyFont="1" applyFill="1" applyBorder="1" applyAlignment="1">
      <alignment wrapText="1"/>
    </xf>
    <xf numFmtId="167" fontId="7" fillId="3" borderId="0" xfId="0" applyNumberFormat="1" applyFont="1" applyFill="1" applyBorder="1" applyAlignment="1">
      <alignment horizontal="right"/>
    </xf>
    <xf numFmtId="0" fontId="7" fillId="3" borderId="0" xfId="0" applyFont="1" applyFill="1" applyBorder="1" applyAlignment="1">
      <alignment horizontal="center" vertical="center"/>
    </xf>
    <xf numFmtId="167" fontId="6" fillId="7" borderId="12" xfId="0" applyNumberFormat="1" applyFont="1" applyFill="1" applyBorder="1" applyAlignment="1">
      <alignment horizontal="center" vertical="center" wrapText="1"/>
    </xf>
    <xf numFmtId="0" fontId="6" fillId="7" borderId="12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16" fillId="8" borderId="5" xfId="0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>
      <alignment horizontal="center" vertical="center"/>
    </xf>
    <xf numFmtId="44" fontId="11" fillId="4" borderId="14" xfId="3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 wrapText="1"/>
    </xf>
    <xf numFmtId="44" fontId="11" fillId="4" borderId="8" xfId="3" applyFont="1" applyFill="1" applyBorder="1" applyAlignment="1">
      <alignment horizontal="center" vertical="center" wrapText="1"/>
    </xf>
    <xf numFmtId="0" fontId="11" fillId="5" borderId="11" xfId="0" applyFont="1" applyFill="1" applyBorder="1" applyAlignment="1">
      <alignment horizontal="center" vertical="center"/>
    </xf>
    <xf numFmtId="44" fontId="11" fillId="4" borderId="6" xfId="3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165" fontId="5" fillId="2" borderId="12" xfId="0" applyNumberFormat="1" applyFont="1" applyFill="1" applyBorder="1" applyAlignment="1" applyProtection="1">
      <alignment vertical="center"/>
      <protection hidden="1"/>
    </xf>
    <xf numFmtId="165" fontId="5" fillId="6" borderId="12" xfId="0" applyNumberFormat="1" applyFont="1" applyFill="1" applyBorder="1" applyAlignment="1" applyProtection="1">
      <alignment vertical="center"/>
      <protection hidden="1"/>
    </xf>
    <xf numFmtId="165" fontId="5" fillId="2" borderId="3" xfId="0" applyNumberFormat="1" applyFont="1" applyFill="1" applyBorder="1" applyAlignment="1" applyProtection="1">
      <alignment vertical="center"/>
      <protection hidden="1"/>
    </xf>
    <xf numFmtId="165" fontId="5" fillId="2" borderId="8" xfId="0" applyNumberFormat="1" applyFont="1" applyFill="1" applyBorder="1" applyAlignment="1" applyProtection="1">
      <alignment vertical="center"/>
      <protection hidden="1"/>
    </xf>
    <xf numFmtId="165" fontId="5" fillId="3" borderId="5" xfId="0" applyNumberFormat="1" applyFont="1" applyFill="1" applyBorder="1" applyAlignment="1" applyProtection="1">
      <alignment vertical="center"/>
      <protection hidden="1"/>
    </xf>
    <xf numFmtId="165" fontId="5" fillId="2" borderId="5" xfId="0" applyNumberFormat="1" applyFont="1" applyFill="1" applyBorder="1" applyAlignment="1" applyProtection="1">
      <alignment vertical="center"/>
      <protection hidden="1"/>
    </xf>
    <xf numFmtId="165" fontId="5" fillId="6" borderId="5" xfId="0" applyNumberFormat="1" applyFont="1" applyFill="1" applyBorder="1" applyAlignment="1" applyProtection="1">
      <alignment vertical="center"/>
      <protection hidden="1"/>
    </xf>
    <xf numFmtId="165" fontId="5" fillId="2" borderId="6" xfId="0" applyNumberFormat="1" applyFont="1" applyFill="1" applyBorder="1" applyAlignment="1" applyProtection="1">
      <alignment vertical="center"/>
      <protection hidden="1"/>
    </xf>
    <xf numFmtId="0" fontId="10" fillId="7" borderId="21" xfId="0" applyFont="1" applyFill="1" applyBorder="1" applyAlignment="1">
      <alignment horizontal="center" vertical="center"/>
    </xf>
    <xf numFmtId="167" fontId="10" fillId="7" borderId="21" xfId="0" applyNumberFormat="1" applyFont="1" applyFill="1" applyBorder="1" applyAlignment="1">
      <alignment horizontal="center" vertical="center"/>
    </xf>
    <xf numFmtId="166" fontId="5" fillId="2" borderId="2" xfId="0" applyNumberFormat="1" applyFont="1" applyFill="1" applyBorder="1" applyAlignment="1" applyProtection="1">
      <alignment horizontal="center" vertical="center"/>
      <protection hidden="1"/>
    </xf>
    <xf numFmtId="166" fontId="5" fillId="2" borderId="7" xfId="0" applyNumberFormat="1" applyFont="1" applyFill="1" applyBorder="1" applyAlignment="1" applyProtection="1">
      <alignment horizontal="center" vertical="center"/>
      <protection hidden="1"/>
    </xf>
    <xf numFmtId="166" fontId="5" fillId="3" borderId="7" xfId="0" applyNumberFormat="1" applyFont="1" applyFill="1" applyBorder="1" applyAlignment="1" applyProtection="1">
      <alignment horizontal="center" vertical="center"/>
      <protection hidden="1"/>
    </xf>
    <xf numFmtId="166" fontId="5" fillId="3" borderId="4" xfId="0" applyNumberFormat="1" applyFont="1" applyFill="1" applyBorder="1" applyAlignment="1" applyProtection="1">
      <alignment horizontal="center" vertical="center"/>
      <protection hidden="1"/>
    </xf>
    <xf numFmtId="166" fontId="5" fillId="2" borderId="1" xfId="0" applyNumberFormat="1" applyFont="1" applyFill="1" applyBorder="1" applyAlignment="1" applyProtection="1">
      <alignment horizontal="center" vertical="center"/>
      <protection hidden="1"/>
    </xf>
    <xf numFmtId="166" fontId="5" fillId="3" borderId="1" xfId="0" applyNumberFormat="1" applyFont="1" applyFill="1" applyBorder="1" applyAlignment="1" applyProtection="1">
      <alignment horizontal="center" vertical="center"/>
      <protection hidden="1"/>
    </xf>
    <xf numFmtId="44" fontId="14" fillId="8" borderId="5" xfId="3" applyFont="1" applyFill="1" applyBorder="1" applyAlignment="1" applyProtection="1">
      <alignment horizontal="center" vertical="center"/>
      <protection locked="0"/>
    </xf>
    <xf numFmtId="10" fontId="14" fillId="8" borderId="6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pivotButton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Alignment="1" applyProtection="1">
      <alignment horizontal="left"/>
      <protection locked="0"/>
    </xf>
    <xf numFmtId="44" fontId="0" fillId="0" borderId="0" xfId="0" applyNumberFormat="1" applyProtection="1">
      <protection locked="0"/>
    </xf>
    <xf numFmtId="167" fontId="6" fillId="7" borderId="2" xfId="0" applyNumberFormat="1" applyFont="1" applyFill="1" applyBorder="1" applyAlignment="1">
      <alignment horizontal="center" vertical="center" wrapText="1"/>
    </xf>
    <xf numFmtId="167" fontId="6" fillId="7" borderId="12" xfId="0" applyNumberFormat="1" applyFont="1" applyFill="1" applyBorder="1" applyAlignment="1">
      <alignment horizontal="center" vertical="center" wrapText="1"/>
    </xf>
    <xf numFmtId="44" fontId="16" fillId="8" borderId="10" xfId="3" applyFont="1" applyFill="1" applyBorder="1" applyAlignment="1" applyProtection="1">
      <alignment horizontal="center" vertical="center"/>
      <protection locked="0"/>
    </xf>
    <xf numFmtId="44" fontId="16" fillId="8" borderId="11" xfId="3" applyFont="1" applyFill="1" applyBorder="1" applyAlignment="1" applyProtection="1">
      <alignment horizontal="center" vertical="center"/>
      <protection locked="0"/>
    </xf>
    <xf numFmtId="0" fontId="17" fillId="2" borderId="15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18" xfId="0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</cellXfs>
  <cellStyles count="4">
    <cellStyle name="Moeda" xfId="3" builtinId="4"/>
    <cellStyle name="Normal" xfId="0" builtinId="0"/>
    <cellStyle name="Porcentagem" xfId="2" builtinId="5"/>
    <cellStyle name="Vírgula" xfId="1" builtinId="3"/>
  </cellStyles>
  <dxfs count="10"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0" defaultTableStyle="TableStyleMedium9" defaultPivotStyle="PivotStyleLight16"/>
  <colors>
    <mruColors>
      <color rgb="FFFFFFCC"/>
      <color rgb="FFA0CE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[SIMULADOR PLANO DE INVESTIMENTO.xlsm]Planilha1!Tabela dinâmica1</c:name>
    <c:fmtId val="2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Planilha1!$B$3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Planilha1!$A$4:$A$485</c:f>
              <c:strCache>
                <c:ptCount val="481"/>
                <c:pt idx="0">
                  <c:v>0 </c:v>
                </c:pt>
                <c:pt idx="1">
                  <c:v>1 </c:v>
                </c:pt>
                <c:pt idx="2">
                  <c:v>2 </c:v>
                </c:pt>
                <c:pt idx="3">
                  <c:v>3 </c:v>
                </c:pt>
                <c:pt idx="4">
                  <c:v>4 </c:v>
                </c:pt>
                <c:pt idx="5">
                  <c:v>5 </c:v>
                </c:pt>
                <c:pt idx="6">
                  <c:v>6 </c:v>
                </c:pt>
                <c:pt idx="7">
                  <c:v>7 </c:v>
                </c:pt>
                <c:pt idx="8">
                  <c:v>8 </c:v>
                </c:pt>
                <c:pt idx="9">
                  <c:v>9 </c:v>
                </c:pt>
                <c:pt idx="10">
                  <c:v>10 </c:v>
                </c:pt>
                <c:pt idx="11">
                  <c:v>11 </c:v>
                </c:pt>
                <c:pt idx="12">
                  <c:v>12 </c:v>
                </c:pt>
                <c:pt idx="13">
                  <c:v>13 </c:v>
                </c:pt>
                <c:pt idx="14">
                  <c:v>14 </c:v>
                </c:pt>
                <c:pt idx="15">
                  <c:v>15 </c:v>
                </c:pt>
                <c:pt idx="16">
                  <c:v>16 </c:v>
                </c:pt>
                <c:pt idx="17">
                  <c:v>17 </c:v>
                </c:pt>
                <c:pt idx="18">
                  <c:v>18 </c:v>
                </c:pt>
                <c:pt idx="19">
                  <c:v>19 </c:v>
                </c:pt>
                <c:pt idx="20">
                  <c:v>20 </c:v>
                </c:pt>
                <c:pt idx="21">
                  <c:v>21 </c:v>
                </c:pt>
                <c:pt idx="22">
                  <c:v>22 </c:v>
                </c:pt>
                <c:pt idx="23">
                  <c:v>23 </c:v>
                </c:pt>
                <c:pt idx="24">
                  <c:v>24 </c:v>
                </c:pt>
                <c:pt idx="25">
                  <c:v>25 </c:v>
                </c:pt>
                <c:pt idx="26">
                  <c:v>26 </c:v>
                </c:pt>
                <c:pt idx="27">
                  <c:v>27 </c:v>
                </c:pt>
                <c:pt idx="28">
                  <c:v>28 </c:v>
                </c:pt>
                <c:pt idx="29">
                  <c:v>29 </c:v>
                </c:pt>
                <c:pt idx="30">
                  <c:v>30 </c:v>
                </c:pt>
                <c:pt idx="31">
                  <c:v>31 </c:v>
                </c:pt>
                <c:pt idx="32">
                  <c:v>32 </c:v>
                </c:pt>
                <c:pt idx="33">
                  <c:v>33 </c:v>
                </c:pt>
                <c:pt idx="34">
                  <c:v>34 </c:v>
                </c:pt>
                <c:pt idx="35">
                  <c:v>35 </c:v>
                </c:pt>
                <c:pt idx="36">
                  <c:v>36 </c:v>
                </c:pt>
                <c:pt idx="37">
                  <c:v>37 </c:v>
                </c:pt>
                <c:pt idx="38">
                  <c:v>38 </c:v>
                </c:pt>
                <c:pt idx="39">
                  <c:v>39 </c:v>
                </c:pt>
                <c:pt idx="40">
                  <c:v>40 </c:v>
                </c:pt>
                <c:pt idx="41">
                  <c:v>41 </c:v>
                </c:pt>
                <c:pt idx="42">
                  <c:v>42 </c:v>
                </c:pt>
                <c:pt idx="43">
                  <c:v>43 </c:v>
                </c:pt>
                <c:pt idx="44">
                  <c:v>44 </c:v>
                </c:pt>
                <c:pt idx="45">
                  <c:v>45 </c:v>
                </c:pt>
                <c:pt idx="46">
                  <c:v>46 </c:v>
                </c:pt>
                <c:pt idx="47">
                  <c:v>47 </c:v>
                </c:pt>
                <c:pt idx="48">
                  <c:v>48 </c:v>
                </c:pt>
                <c:pt idx="49">
                  <c:v>49 </c:v>
                </c:pt>
                <c:pt idx="50">
                  <c:v>50 </c:v>
                </c:pt>
                <c:pt idx="51">
                  <c:v>51 </c:v>
                </c:pt>
                <c:pt idx="52">
                  <c:v>52 </c:v>
                </c:pt>
                <c:pt idx="53">
                  <c:v>53 </c:v>
                </c:pt>
                <c:pt idx="54">
                  <c:v>54 </c:v>
                </c:pt>
                <c:pt idx="55">
                  <c:v>55 </c:v>
                </c:pt>
                <c:pt idx="56">
                  <c:v>56 </c:v>
                </c:pt>
                <c:pt idx="57">
                  <c:v>57 </c:v>
                </c:pt>
                <c:pt idx="58">
                  <c:v>58 </c:v>
                </c:pt>
                <c:pt idx="59">
                  <c:v>59 </c:v>
                </c:pt>
                <c:pt idx="60">
                  <c:v>60 </c:v>
                </c:pt>
                <c:pt idx="61">
                  <c:v>61 </c:v>
                </c:pt>
                <c:pt idx="62">
                  <c:v>62 </c:v>
                </c:pt>
                <c:pt idx="63">
                  <c:v>63 </c:v>
                </c:pt>
                <c:pt idx="64">
                  <c:v>64 </c:v>
                </c:pt>
                <c:pt idx="65">
                  <c:v>65 </c:v>
                </c:pt>
                <c:pt idx="66">
                  <c:v>66 </c:v>
                </c:pt>
                <c:pt idx="67">
                  <c:v>67 </c:v>
                </c:pt>
                <c:pt idx="68">
                  <c:v>68 </c:v>
                </c:pt>
                <c:pt idx="69">
                  <c:v>69 </c:v>
                </c:pt>
                <c:pt idx="70">
                  <c:v>70 </c:v>
                </c:pt>
                <c:pt idx="71">
                  <c:v>71 </c:v>
                </c:pt>
                <c:pt idx="72">
                  <c:v>72 </c:v>
                </c:pt>
                <c:pt idx="73">
                  <c:v>73 </c:v>
                </c:pt>
                <c:pt idx="74">
                  <c:v>74 </c:v>
                </c:pt>
                <c:pt idx="75">
                  <c:v>75 </c:v>
                </c:pt>
                <c:pt idx="76">
                  <c:v>76 </c:v>
                </c:pt>
                <c:pt idx="77">
                  <c:v>77 </c:v>
                </c:pt>
                <c:pt idx="78">
                  <c:v>78 </c:v>
                </c:pt>
                <c:pt idx="79">
                  <c:v>79 </c:v>
                </c:pt>
                <c:pt idx="80">
                  <c:v>80 </c:v>
                </c:pt>
                <c:pt idx="81">
                  <c:v>81 </c:v>
                </c:pt>
                <c:pt idx="82">
                  <c:v>82 </c:v>
                </c:pt>
                <c:pt idx="83">
                  <c:v>83 </c:v>
                </c:pt>
                <c:pt idx="84">
                  <c:v>84 </c:v>
                </c:pt>
                <c:pt idx="85">
                  <c:v>85 </c:v>
                </c:pt>
                <c:pt idx="86">
                  <c:v>86 </c:v>
                </c:pt>
                <c:pt idx="87">
                  <c:v>87 </c:v>
                </c:pt>
                <c:pt idx="88">
                  <c:v>88 </c:v>
                </c:pt>
                <c:pt idx="89">
                  <c:v>89 </c:v>
                </c:pt>
                <c:pt idx="90">
                  <c:v>90 </c:v>
                </c:pt>
                <c:pt idx="91">
                  <c:v>91 </c:v>
                </c:pt>
                <c:pt idx="92">
                  <c:v>92 </c:v>
                </c:pt>
                <c:pt idx="93">
                  <c:v>93 </c:v>
                </c:pt>
                <c:pt idx="94">
                  <c:v>94 </c:v>
                </c:pt>
                <c:pt idx="95">
                  <c:v>95 </c:v>
                </c:pt>
                <c:pt idx="96">
                  <c:v>96 </c:v>
                </c:pt>
                <c:pt idx="97">
                  <c:v>97 </c:v>
                </c:pt>
                <c:pt idx="98">
                  <c:v>98 </c:v>
                </c:pt>
                <c:pt idx="99">
                  <c:v>99 </c:v>
                </c:pt>
                <c:pt idx="100">
                  <c:v>100 </c:v>
                </c:pt>
                <c:pt idx="101">
                  <c:v>101 </c:v>
                </c:pt>
                <c:pt idx="102">
                  <c:v>102 </c:v>
                </c:pt>
                <c:pt idx="103">
                  <c:v>103 </c:v>
                </c:pt>
                <c:pt idx="104">
                  <c:v>104 </c:v>
                </c:pt>
                <c:pt idx="105">
                  <c:v>105 </c:v>
                </c:pt>
                <c:pt idx="106">
                  <c:v>106 </c:v>
                </c:pt>
                <c:pt idx="107">
                  <c:v>107 </c:v>
                </c:pt>
                <c:pt idx="108">
                  <c:v>108 </c:v>
                </c:pt>
                <c:pt idx="109">
                  <c:v>109 </c:v>
                </c:pt>
                <c:pt idx="110">
                  <c:v>110 </c:v>
                </c:pt>
                <c:pt idx="111">
                  <c:v>111 </c:v>
                </c:pt>
                <c:pt idx="112">
                  <c:v>112 </c:v>
                </c:pt>
                <c:pt idx="113">
                  <c:v>113 </c:v>
                </c:pt>
                <c:pt idx="114">
                  <c:v>114 </c:v>
                </c:pt>
                <c:pt idx="115">
                  <c:v>115 </c:v>
                </c:pt>
                <c:pt idx="116">
                  <c:v>116 </c:v>
                </c:pt>
                <c:pt idx="117">
                  <c:v>117 </c:v>
                </c:pt>
                <c:pt idx="118">
                  <c:v>118 </c:v>
                </c:pt>
                <c:pt idx="119">
                  <c:v>119 </c:v>
                </c:pt>
                <c:pt idx="120">
                  <c:v>120 </c:v>
                </c:pt>
                <c:pt idx="121">
                  <c:v>121 </c:v>
                </c:pt>
                <c:pt idx="122">
                  <c:v>122 </c:v>
                </c:pt>
                <c:pt idx="123">
                  <c:v>123 </c:v>
                </c:pt>
                <c:pt idx="124">
                  <c:v>124 </c:v>
                </c:pt>
                <c:pt idx="125">
                  <c:v>125 </c:v>
                </c:pt>
                <c:pt idx="126">
                  <c:v>126 </c:v>
                </c:pt>
                <c:pt idx="127">
                  <c:v>127 </c:v>
                </c:pt>
                <c:pt idx="128">
                  <c:v>128 </c:v>
                </c:pt>
                <c:pt idx="129">
                  <c:v>129 </c:v>
                </c:pt>
                <c:pt idx="130">
                  <c:v>130 </c:v>
                </c:pt>
                <c:pt idx="131">
                  <c:v>131 </c:v>
                </c:pt>
                <c:pt idx="132">
                  <c:v>132 </c:v>
                </c:pt>
                <c:pt idx="133">
                  <c:v>133 </c:v>
                </c:pt>
                <c:pt idx="134">
                  <c:v>134 </c:v>
                </c:pt>
                <c:pt idx="135">
                  <c:v>135 </c:v>
                </c:pt>
                <c:pt idx="136">
                  <c:v>136 </c:v>
                </c:pt>
                <c:pt idx="137">
                  <c:v>137 </c:v>
                </c:pt>
                <c:pt idx="138">
                  <c:v>138 </c:v>
                </c:pt>
                <c:pt idx="139">
                  <c:v>139 </c:v>
                </c:pt>
                <c:pt idx="140">
                  <c:v>140 </c:v>
                </c:pt>
                <c:pt idx="141">
                  <c:v>141 </c:v>
                </c:pt>
                <c:pt idx="142">
                  <c:v>142 </c:v>
                </c:pt>
                <c:pt idx="143">
                  <c:v>143 </c:v>
                </c:pt>
                <c:pt idx="144">
                  <c:v>144 </c:v>
                </c:pt>
                <c:pt idx="145">
                  <c:v>145 </c:v>
                </c:pt>
                <c:pt idx="146">
                  <c:v>146 </c:v>
                </c:pt>
                <c:pt idx="147">
                  <c:v>147 </c:v>
                </c:pt>
                <c:pt idx="148">
                  <c:v>148 </c:v>
                </c:pt>
                <c:pt idx="149">
                  <c:v>149 </c:v>
                </c:pt>
                <c:pt idx="150">
                  <c:v>150 </c:v>
                </c:pt>
                <c:pt idx="151">
                  <c:v>151 </c:v>
                </c:pt>
                <c:pt idx="152">
                  <c:v>152 </c:v>
                </c:pt>
                <c:pt idx="153">
                  <c:v>153 </c:v>
                </c:pt>
                <c:pt idx="154">
                  <c:v>154 </c:v>
                </c:pt>
                <c:pt idx="155">
                  <c:v>155 </c:v>
                </c:pt>
                <c:pt idx="156">
                  <c:v>156 </c:v>
                </c:pt>
                <c:pt idx="157">
                  <c:v>157 </c:v>
                </c:pt>
                <c:pt idx="158">
                  <c:v>158 </c:v>
                </c:pt>
                <c:pt idx="159">
                  <c:v>159 </c:v>
                </c:pt>
                <c:pt idx="160">
                  <c:v>160 </c:v>
                </c:pt>
                <c:pt idx="161">
                  <c:v>161 </c:v>
                </c:pt>
                <c:pt idx="162">
                  <c:v>162 </c:v>
                </c:pt>
                <c:pt idx="163">
                  <c:v>163 </c:v>
                </c:pt>
                <c:pt idx="164">
                  <c:v>164 </c:v>
                </c:pt>
                <c:pt idx="165">
                  <c:v>165 </c:v>
                </c:pt>
                <c:pt idx="166">
                  <c:v>166 </c:v>
                </c:pt>
                <c:pt idx="167">
                  <c:v>167 </c:v>
                </c:pt>
                <c:pt idx="168">
                  <c:v>168 </c:v>
                </c:pt>
                <c:pt idx="169">
                  <c:v>169 </c:v>
                </c:pt>
                <c:pt idx="170">
                  <c:v>170 </c:v>
                </c:pt>
                <c:pt idx="171">
                  <c:v>171 </c:v>
                </c:pt>
                <c:pt idx="172">
                  <c:v>172 </c:v>
                </c:pt>
                <c:pt idx="173">
                  <c:v>173 </c:v>
                </c:pt>
                <c:pt idx="174">
                  <c:v>174 </c:v>
                </c:pt>
                <c:pt idx="175">
                  <c:v>175 </c:v>
                </c:pt>
                <c:pt idx="176">
                  <c:v>176 </c:v>
                </c:pt>
                <c:pt idx="177">
                  <c:v>177 </c:v>
                </c:pt>
                <c:pt idx="178">
                  <c:v>178 </c:v>
                </c:pt>
                <c:pt idx="179">
                  <c:v>179 </c:v>
                </c:pt>
                <c:pt idx="180">
                  <c:v>180 </c:v>
                </c:pt>
                <c:pt idx="181">
                  <c:v>181 </c:v>
                </c:pt>
                <c:pt idx="182">
                  <c:v>182 </c:v>
                </c:pt>
                <c:pt idx="183">
                  <c:v>183 </c:v>
                </c:pt>
                <c:pt idx="184">
                  <c:v>184 </c:v>
                </c:pt>
                <c:pt idx="185">
                  <c:v>185 </c:v>
                </c:pt>
                <c:pt idx="186">
                  <c:v>186 </c:v>
                </c:pt>
                <c:pt idx="187">
                  <c:v>187 </c:v>
                </c:pt>
                <c:pt idx="188">
                  <c:v>188 </c:v>
                </c:pt>
                <c:pt idx="189">
                  <c:v>189 </c:v>
                </c:pt>
                <c:pt idx="190">
                  <c:v>190 </c:v>
                </c:pt>
                <c:pt idx="191">
                  <c:v>191 </c:v>
                </c:pt>
                <c:pt idx="192">
                  <c:v>192 </c:v>
                </c:pt>
                <c:pt idx="193">
                  <c:v>193 </c:v>
                </c:pt>
                <c:pt idx="194">
                  <c:v>194 </c:v>
                </c:pt>
                <c:pt idx="195">
                  <c:v>195 </c:v>
                </c:pt>
                <c:pt idx="196">
                  <c:v>196 </c:v>
                </c:pt>
                <c:pt idx="197">
                  <c:v>197 </c:v>
                </c:pt>
                <c:pt idx="198">
                  <c:v>198 </c:v>
                </c:pt>
                <c:pt idx="199">
                  <c:v>199 </c:v>
                </c:pt>
                <c:pt idx="200">
                  <c:v>200 </c:v>
                </c:pt>
                <c:pt idx="201">
                  <c:v>201 </c:v>
                </c:pt>
                <c:pt idx="202">
                  <c:v>202 </c:v>
                </c:pt>
                <c:pt idx="203">
                  <c:v>203 </c:v>
                </c:pt>
                <c:pt idx="204">
                  <c:v>204 </c:v>
                </c:pt>
                <c:pt idx="205">
                  <c:v>205 </c:v>
                </c:pt>
                <c:pt idx="206">
                  <c:v>206 </c:v>
                </c:pt>
                <c:pt idx="207">
                  <c:v>207 </c:v>
                </c:pt>
                <c:pt idx="208">
                  <c:v>208 </c:v>
                </c:pt>
                <c:pt idx="209">
                  <c:v>209 </c:v>
                </c:pt>
                <c:pt idx="210">
                  <c:v>210 </c:v>
                </c:pt>
                <c:pt idx="211">
                  <c:v>211 </c:v>
                </c:pt>
                <c:pt idx="212">
                  <c:v>212 </c:v>
                </c:pt>
                <c:pt idx="213">
                  <c:v>213 </c:v>
                </c:pt>
                <c:pt idx="214">
                  <c:v>214 </c:v>
                </c:pt>
                <c:pt idx="215">
                  <c:v>215 </c:v>
                </c:pt>
                <c:pt idx="216">
                  <c:v>216 </c:v>
                </c:pt>
                <c:pt idx="217">
                  <c:v>217 </c:v>
                </c:pt>
                <c:pt idx="218">
                  <c:v>218 </c:v>
                </c:pt>
                <c:pt idx="219">
                  <c:v>219 </c:v>
                </c:pt>
                <c:pt idx="220">
                  <c:v>220 </c:v>
                </c:pt>
                <c:pt idx="221">
                  <c:v>221 </c:v>
                </c:pt>
                <c:pt idx="222">
                  <c:v>222 </c:v>
                </c:pt>
                <c:pt idx="223">
                  <c:v>223 </c:v>
                </c:pt>
                <c:pt idx="224">
                  <c:v>224 </c:v>
                </c:pt>
                <c:pt idx="225">
                  <c:v>225 </c:v>
                </c:pt>
                <c:pt idx="226">
                  <c:v>226 </c:v>
                </c:pt>
                <c:pt idx="227">
                  <c:v>227 </c:v>
                </c:pt>
                <c:pt idx="228">
                  <c:v>228 </c:v>
                </c:pt>
                <c:pt idx="229">
                  <c:v>229 </c:v>
                </c:pt>
                <c:pt idx="230">
                  <c:v>230 </c:v>
                </c:pt>
                <c:pt idx="231">
                  <c:v>231 </c:v>
                </c:pt>
                <c:pt idx="232">
                  <c:v>232 </c:v>
                </c:pt>
                <c:pt idx="233">
                  <c:v>233 </c:v>
                </c:pt>
                <c:pt idx="234">
                  <c:v>234 </c:v>
                </c:pt>
                <c:pt idx="235">
                  <c:v>235 </c:v>
                </c:pt>
                <c:pt idx="236">
                  <c:v>236 </c:v>
                </c:pt>
                <c:pt idx="237">
                  <c:v>237 </c:v>
                </c:pt>
                <c:pt idx="238">
                  <c:v>238 </c:v>
                </c:pt>
                <c:pt idx="239">
                  <c:v>239 </c:v>
                </c:pt>
                <c:pt idx="240">
                  <c:v>240 </c:v>
                </c:pt>
                <c:pt idx="241">
                  <c:v>241 </c:v>
                </c:pt>
                <c:pt idx="242">
                  <c:v>242 </c:v>
                </c:pt>
                <c:pt idx="243">
                  <c:v>243 </c:v>
                </c:pt>
                <c:pt idx="244">
                  <c:v>244 </c:v>
                </c:pt>
                <c:pt idx="245">
                  <c:v>245 </c:v>
                </c:pt>
                <c:pt idx="246">
                  <c:v>246 </c:v>
                </c:pt>
                <c:pt idx="247">
                  <c:v>247 </c:v>
                </c:pt>
                <c:pt idx="248">
                  <c:v>248 </c:v>
                </c:pt>
                <c:pt idx="249">
                  <c:v>249 </c:v>
                </c:pt>
                <c:pt idx="250">
                  <c:v>250 </c:v>
                </c:pt>
                <c:pt idx="251">
                  <c:v>251 </c:v>
                </c:pt>
                <c:pt idx="252">
                  <c:v>252 </c:v>
                </c:pt>
                <c:pt idx="253">
                  <c:v>253 </c:v>
                </c:pt>
                <c:pt idx="254">
                  <c:v>254 </c:v>
                </c:pt>
                <c:pt idx="255">
                  <c:v>255 </c:v>
                </c:pt>
                <c:pt idx="256">
                  <c:v>256 </c:v>
                </c:pt>
                <c:pt idx="257">
                  <c:v>257 </c:v>
                </c:pt>
                <c:pt idx="258">
                  <c:v>258 </c:v>
                </c:pt>
                <c:pt idx="259">
                  <c:v>259 </c:v>
                </c:pt>
                <c:pt idx="260">
                  <c:v>260 </c:v>
                </c:pt>
                <c:pt idx="261">
                  <c:v>261 </c:v>
                </c:pt>
                <c:pt idx="262">
                  <c:v>262 </c:v>
                </c:pt>
                <c:pt idx="263">
                  <c:v>263 </c:v>
                </c:pt>
                <c:pt idx="264">
                  <c:v>264 </c:v>
                </c:pt>
                <c:pt idx="265">
                  <c:v>265 </c:v>
                </c:pt>
                <c:pt idx="266">
                  <c:v>266 </c:v>
                </c:pt>
                <c:pt idx="267">
                  <c:v>267 </c:v>
                </c:pt>
                <c:pt idx="268">
                  <c:v>268 </c:v>
                </c:pt>
                <c:pt idx="269">
                  <c:v>269 </c:v>
                </c:pt>
                <c:pt idx="270">
                  <c:v>270 </c:v>
                </c:pt>
                <c:pt idx="271">
                  <c:v>271 </c:v>
                </c:pt>
                <c:pt idx="272">
                  <c:v>272 </c:v>
                </c:pt>
                <c:pt idx="273">
                  <c:v>273 </c:v>
                </c:pt>
                <c:pt idx="274">
                  <c:v>274 </c:v>
                </c:pt>
                <c:pt idx="275">
                  <c:v>275 </c:v>
                </c:pt>
                <c:pt idx="276">
                  <c:v>276 </c:v>
                </c:pt>
                <c:pt idx="277">
                  <c:v>277 </c:v>
                </c:pt>
                <c:pt idx="278">
                  <c:v>278 </c:v>
                </c:pt>
                <c:pt idx="279">
                  <c:v>279 </c:v>
                </c:pt>
                <c:pt idx="280">
                  <c:v>280 </c:v>
                </c:pt>
                <c:pt idx="281">
                  <c:v>281 </c:v>
                </c:pt>
                <c:pt idx="282">
                  <c:v>282 </c:v>
                </c:pt>
                <c:pt idx="283">
                  <c:v>283 </c:v>
                </c:pt>
                <c:pt idx="284">
                  <c:v>284 </c:v>
                </c:pt>
                <c:pt idx="285">
                  <c:v>285 </c:v>
                </c:pt>
                <c:pt idx="286">
                  <c:v>286 </c:v>
                </c:pt>
                <c:pt idx="287">
                  <c:v>287 </c:v>
                </c:pt>
                <c:pt idx="288">
                  <c:v>288 </c:v>
                </c:pt>
                <c:pt idx="289">
                  <c:v>289 </c:v>
                </c:pt>
                <c:pt idx="290">
                  <c:v>290 </c:v>
                </c:pt>
                <c:pt idx="291">
                  <c:v>291 </c:v>
                </c:pt>
                <c:pt idx="292">
                  <c:v>292 </c:v>
                </c:pt>
                <c:pt idx="293">
                  <c:v>293 </c:v>
                </c:pt>
                <c:pt idx="294">
                  <c:v>294 </c:v>
                </c:pt>
                <c:pt idx="295">
                  <c:v>295 </c:v>
                </c:pt>
                <c:pt idx="296">
                  <c:v>296 </c:v>
                </c:pt>
                <c:pt idx="297">
                  <c:v>297 </c:v>
                </c:pt>
                <c:pt idx="298">
                  <c:v>298 </c:v>
                </c:pt>
                <c:pt idx="299">
                  <c:v>299 </c:v>
                </c:pt>
                <c:pt idx="300">
                  <c:v>300 </c:v>
                </c:pt>
                <c:pt idx="301">
                  <c:v>301 </c:v>
                </c:pt>
                <c:pt idx="302">
                  <c:v>302 </c:v>
                </c:pt>
                <c:pt idx="303">
                  <c:v>303 </c:v>
                </c:pt>
                <c:pt idx="304">
                  <c:v>304 </c:v>
                </c:pt>
                <c:pt idx="305">
                  <c:v>305 </c:v>
                </c:pt>
                <c:pt idx="306">
                  <c:v>306 </c:v>
                </c:pt>
                <c:pt idx="307">
                  <c:v>307 </c:v>
                </c:pt>
                <c:pt idx="308">
                  <c:v>308 </c:v>
                </c:pt>
                <c:pt idx="309">
                  <c:v>309 </c:v>
                </c:pt>
                <c:pt idx="310">
                  <c:v>310 </c:v>
                </c:pt>
                <c:pt idx="311">
                  <c:v>311 </c:v>
                </c:pt>
                <c:pt idx="312">
                  <c:v>312 </c:v>
                </c:pt>
                <c:pt idx="313">
                  <c:v>313 </c:v>
                </c:pt>
                <c:pt idx="314">
                  <c:v>314 </c:v>
                </c:pt>
                <c:pt idx="315">
                  <c:v>315 </c:v>
                </c:pt>
                <c:pt idx="316">
                  <c:v>316 </c:v>
                </c:pt>
                <c:pt idx="317">
                  <c:v>317 </c:v>
                </c:pt>
                <c:pt idx="318">
                  <c:v>318 </c:v>
                </c:pt>
                <c:pt idx="319">
                  <c:v>319 </c:v>
                </c:pt>
                <c:pt idx="320">
                  <c:v>320 </c:v>
                </c:pt>
                <c:pt idx="321">
                  <c:v>321 </c:v>
                </c:pt>
                <c:pt idx="322">
                  <c:v>322 </c:v>
                </c:pt>
                <c:pt idx="323">
                  <c:v>323 </c:v>
                </c:pt>
                <c:pt idx="324">
                  <c:v>324 </c:v>
                </c:pt>
                <c:pt idx="325">
                  <c:v>325 </c:v>
                </c:pt>
                <c:pt idx="326">
                  <c:v>326 </c:v>
                </c:pt>
                <c:pt idx="327">
                  <c:v>327 </c:v>
                </c:pt>
                <c:pt idx="328">
                  <c:v>328 </c:v>
                </c:pt>
                <c:pt idx="329">
                  <c:v>329 </c:v>
                </c:pt>
                <c:pt idx="330">
                  <c:v>330 </c:v>
                </c:pt>
                <c:pt idx="331">
                  <c:v>331 </c:v>
                </c:pt>
                <c:pt idx="332">
                  <c:v>332 </c:v>
                </c:pt>
                <c:pt idx="333">
                  <c:v>333 </c:v>
                </c:pt>
                <c:pt idx="334">
                  <c:v>334 </c:v>
                </c:pt>
                <c:pt idx="335">
                  <c:v>335 </c:v>
                </c:pt>
                <c:pt idx="336">
                  <c:v>336 </c:v>
                </c:pt>
                <c:pt idx="337">
                  <c:v>337 </c:v>
                </c:pt>
                <c:pt idx="338">
                  <c:v>338 </c:v>
                </c:pt>
                <c:pt idx="339">
                  <c:v>339 </c:v>
                </c:pt>
                <c:pt idx="340">
                  <c:v>340 </c:v>
                </c:pt>
                <c:pt idx="341">
                  <c:v>341 </c:v>
                </c:pt>
                <c:pt idx="342">
                  <c:v>342 </c:v>
                </c:pt>
                <c:pt idx="343">
                  <c:v>343 </c:v>
                </c:pt>
                <c:pt idx="344">
                  <c:v>344 </c:v>
                </c:pt>
                <c:pt idx="345">
                  <c:v>345 </c:v>
                </c:pt>
                <c:pt idx="346">
                  <c:v>346 </c:v>
                </c:pt>
                <c:pt idx="347">
                  <c:v>347 </c:v>
                </c:pt>
                <c:pt idx="348">
                  <c:v>348 </c:v>
                </c:pt>
                <c:pt idx="349">
                  <c:v>349 </c:v>
                </c:pt>
                <c:pt idx="350">
                  <c:v>350 </c:v>
                </c:pt>
                <c:pt idx="351">
                  <c:v>351 </c:v>
                </c:pt>
                <c:pt idx="352">
                  <c:v>352 </c:v>
                </c:pt>
                <c:pt idx="353">
                  <c:v>353 </c:v>
                </c:pt>
                <c:pt idx="354">
                  <c:v>354 </c:v>
                </c:pt>
                <c:pt idx="355">
                  <c:v>355 </c:v>
                </c:pt>
                <c:pt idx="356">
                  <c:v>356 </c:v>
                </c:pt>
                <c:pt idx="357">
                  <c:v>357 </c:v>
                </c:pt>
                <c:pt idx="358">
                  <c:v>358 </c:v>
                </c:pt>
                <c:pt idx="359">
                  <c:v>359 </c:v>
                </c:pt>
                <c:pt idx="360">
                  <c:v>360 </c:v>
                </c:pt>
                <c:pt idx="361">
                  <c:v>361 </c:v>
                </c:pt>
                <c:pt idx="362">
                  <c:v>362 </c:v>
                </c:pt>
                <c:pt idx="363">
                  <c:v>363 </c:v>
                </c:pt>
                <c:pt idx="364">
                  <c:v>364 </c:v>
                </c:pt>
                <c:pt idx="365">
                  <c:v>365 </c:v>
                </c:pt>
                <c:pt idx="366">
                  <c:v>366 </c:v>
                </c:pt>
                <c:pt idx="367">
                  <c:v>367 </c:v>
                </c:pt>
                <c:pt idx="368">
                  <c:v>368 </c:v>
                </c:pt>
                <c:pt idx="369">
                  <c:v>369 </c:v>
                </c:pt>
                <c:pt idx="370">
                  <c:v>370 </c:v>
                </c:pt>
                <c:pt idx="371">
                  <c:v>371 </c:v>
                </c:pt>
                <c:pt idx="372">
                  <c:v>372 </c:v>
                </c:pt>
                <c:pt idx="373">
                  <c:v>373 </c:v>
                </c:pt>
                <c:pt idx="374">
                  <c:v>374 </c:v>
                </c:pt>
                <c:pt idx="375">
                  <c:v>375 </c:v>
                </c:pt>
                <c:pt idx="376">
                  <c:v>376 </c:v>
                </c:pt>
                <c:pt idx="377">
                  <c:v>377 </c:v>
                </c:pt>
                <c:pt idx="378">
                  <c:v>378 </c:v>
                </c:pt>
                <c:pt idx="379">
                  <c:v>379 </c:v>
                </c:pt>
                <c:pt idx="380">
                  <c:v>380 </c:v>
                </c:pt>
                <c:pt idx="381">
                  <c:v>381 </c:v>
                </c:pt>
                <c:pt idx="382">
                  <c:v>382 </c:v>
                </c:pt>
                <c:pt idx="383">
                  <c:v>383 </c:v>
                </c:pt>
                <c:pt idx="384">
                  <c:v>384 </c:v>
                </c:pt>
                <c:pt idx="385">
                  <c:v>385 </c:v>
                </c:pt>
                <c:pt idx="386">
                  <c:v>386 </c:v>
                </c:pt>
                <c:pt idx="387">
                  <c:v>387 </c:v>
                </c:pt>
                <c:pt idx="388">
                  <c:v>388 </c:v>
                </c:pt>
                <c:pt idx="389">
                  <c:v>389 </c:v>
                </c:pt>
                <c:pt idx="390">
                  <c:v>390 </c:v>
                </c:pt>
                <c:pt idx="391">
                  <c:v>391 </c:v>
                </c:pt>
                <c:pt idx="392">
                  <c:v>392 </c:v>
                </c:pt>
                <c:pt idx="393">
                  <c:v>393 </c:v>
                </c:pt>
                <c:pt idx="394">
                  <c:v>394 </c:v>
                </c:pt>
                <c:pt idx="395">
                  <c:v>395 </c:v>
                </c:pt>
                <c:pt idx="396">
                  <c:v>396 </c:v>
                </c:pt>
                <c:pt idx="397">
                  <c:v>397 </c:v>
                </c:pt>
                <c:pt idx="398">
                  <c:v>398 </c:v>
                </c:pt>
                <c:pt idx="399">
                  <c:v>399 </c:v>
                </c:pt>
                <c:pt idx="400">
                  <c:v>400 </c:v>
                </c:pt>
                <c:pt idx="401">
                  <c:v>401 </c:v>
                </c:pt>
                <c:pt idx="402">
                  <c:v>402 </c:v>
                </c:pt>
                <c:pt idx="403">
                  <c:v>403 </c:v>
                </c:pt>
                <c:pt idx="404">
                  <c:v>404 </c:v>
                </c:pt>
                <c:pt idx="405">
                  <c:v>405 </c:v>
                </c:pt>
                <c:pt idx="406">
                  <c:v>406 </c:v>
                </c:pt>
                <c:pt idx="407">
                  <c:v>407 </c:v>
                </c:pt>
                <c:pt idx="408">
                  <c:v>408 </c:v>
                </c:pt>
                <c:pt idx="409">
                  <c:v>409 </c:v>
                </c:pt>
                <c:pt idx="410">
                  <c:v>410 </c:v>
                </c:pt>
                <c:pt idx="411">
                  <c:v>411 </c:v>
                </c:pt>
                <c:pt idx="412">
                  <c:v>412 </c:v>
                </c:pt>
                <c:pt idx="413">
                  <c:v>413 </c:v>
                </c:pt>
                <c:pt idx="414">
                  <c:v>414 </c:v>
                </c:pt>
                <c:pt idx="415">
                  <c:v>415 </c:v>
                </c:pt>
                <c:pt idx="416">
                  <c:v>416 </c:v>
                </c:pt>
                <c:pt idx="417">
                  <c:v>417 </c:v>
                </c:pt>
                <c:pt idx="418">
                  <c:v>418 </c:v>
                </c:pt>
                <c:pt idx="419">
                  <c:v>419 </c:v>
                </c:pt>
                <c:pt idx="420">
                  <c:v>420 </c:v>
                </c:pt>
                <c:pt idx="421">
                  <c:v>421 </c:v>
                </c:pt>
                <c:pt idx="422">
                  <c:v>422 </c:v>
                </c:pt>
                <c:pt idx="423">
                  <c:v>423 </c:v>
                </c:pt>
                <c:pt idx="424">
                  <c:v>424 </c:v>
                </c:pt>
                <c:pt idx="425">
                  <c:v>425 </c:v>
                </c:pt>
                <c:pt idx="426">
                  <c:v>426 </c:v>
                </c:pt>
                <c:pt idx="427">
                  <c:v>427 </c:v>
                </c:pt>
                <c:pt idx="428">
                  <c:v>428 </c:v>
                </c:pt>
                <c:pt idx="429">
                  <c:v>429 </c:v>
                </c:pt>
                <c:pt idx="430">
                  <c:v>430 </c:v>
                </c:pt>
                <c:pt idx="431">
                  <c:v>431 </c:v>
                </c:pt>
                <c:pt idx="432">
                  <c:v>432 </c:v>
                </c:pt>
                <c:pt idx="433">
                  <c:v>433 </c:v>
                </c:pt>
                <c:pt idx="434">
                  <c:v>434 </c:v>
                </c:pt>
                <c:pt idx="435">
                  <c:v>435 </c:v>
                </c:pt>
                <c:pt idx="436">
                  <c:v>436 </c:v>
                </c:pt>
                <c:pt idx="437">
                  <c:v>437 </c:v>
                </c:pt>
                <c:pt idx="438">
                  <c:v>438 </c:v>
                </c:pt>
                <c:pt idx="439">
                  <c:v>439 </c:v>
                </c:pt>
                <c:pt idx="440">
                  <c:v>440 </c:v>
                </c:pt>
                <c:pt idx="441">
                  <c:v>441 </c:v>
                </c:pt>
                <c:pt idx="442">
                  <c:v>442 </c:v>
                </c:pt>
                <c:pt idx="443">
                  <c:v>443 </c:v>
                </c:pt>
                <c:pt idx="444">
                  <c:v>444 </c:v>
                </c:pt>
                <c:pt idx="445">
                  <c:v>445 </c:v>
                </c:pt>
                <c:pt idx="446">
                  <c:v>446 </c:v>
                </c:pt>
                <c:pt idx="447">
                  <c:v>447 </c:v>
                </c:pt>
                <c:pt idx="448">
                  <c:v>448 </c:v>
                </c:pt>
                <c:pt idx="449">
                  <c:v>449 </c:v>
                </c:pt>
                <c:pt idx="450">
                  <c:v>450 </c:v>
                </c:pt>
                <c:pt idx="451">
                  <c:v>451 </c:v>
                </c:pt>
                <c:pt idx="452">
                  <c:v>452 </c:v>
                </c:pt>
                <c:pt idx="453">
                  <c:v>453 </c:v>
                </c:pt>
                <c:pt idx="454">
                  <c:v>454 </c:v>
                </c:pt>
                <c:pt idx="455">
                  <c:v>455 </c:v>
                </c:pt>
                <c:pt idx="456">
                  <c:v>456 </c:v>
                </c:pt>
                <c:pt idx="457">
                  <c:v>457 </c:v>
                </c:pt>
                <c:pt idx="458">
                  <c:v>458 </c:v>
                </c:pt>
                <c:pt idx="459">
                  <c:v>459 </c:v>
                </c:pt>
                <c:pt idx="460">
                  <c:v>460 </c:v>
                </c:pt>
                <c:pt idx="461">
                  <c:v>461 </c:v>
                </c:pt>
                <c:pt idx="462">
                  <c:v>462 </c:v>
                </c:pt>
                <c:pt idx="463">
                  <c:v>463 </c:v>
                </c:pt>
                <c:pt idx="464">
                  <c:v>464 </c:v>
                </c:pt>
                <c:pt idx="465">
                  <c:v>465 </c:v>
                </c:pt>
                <c:pt idx="466">
                  <c:v>466 </c:v>
                </c:pt>
                <c:pt idx="467">
                  <c:v>467 </c:v>
                </c:pt>
                <c:pt idx="468">
                  <c:v>468 </c:v>
                </c:pt>
                <c:pt idx="469">
                  <c:v>469 </c:v>
                </c:pt>
                <c:pt idx="470">
                  <c:v>470 </c:v>
                </c:pt>
                <c:pt idx="471">
                  <c:v>471 </c:v>
                </c:pt>
                <c:pt idx="472">
                  <c:v>472 </c:v>
                </c:pt>
                <c:pt idx="473">
                  <c:v>473 </c:v>
                </c:pt>
                <c:pt idx="474">
                  <c:v>474 </c:v>
                </c:pt>
                <c:pt idx="475">
                  <c:v>475 </c:v>
                </c:pt>
                <c:pt idx="476">
                  <c:v>476 </c:v>
                </c:pt>
                <c:pt idx="477">
                  <c:v>477 </c:v>
                </c:pt>
                <c:pt idx="478">
                  <c:v>478 </c:v>
                </c:pt>
                <c:pt idx="479">
                  <c:v>479 </c:v>
                </c:pt>
                <c:pt idx="480">
                  <c:v>480 </c:v>
                </c:pt>
              </c:strCache>
            </c:strRef>
          </c:cat>
          <c:val>
            <c:numRef>
              <c:f>Planilha1!$B$4:$B$485</c:f>
              <c:numCache>
                <c:formatCode>_("R$"* #,##0.00_);_("R$"* \(#,##0.00\);_("R$"* "-"??_);_(@_)</c:formatCode>
                <c:ptCount val="481"/>
                <c:pt idx="0">
                  <c:v>0</c:v>
                </c:pt>
                <c:pt idx="1">
                  <c:v>200</c:v>
                </c:pt>
                <c:pt idx="2">
                  <c:v>401.76</c:v>
                </c:pt>
                <c:pt idx="3">
                  <c:v>605.29548799999998</c:v>
                </c:pt>
                <c:pt idx="4">
                  <c:v>810.62208829439999</c:v>
                </c:pt>
                <c:pt idx="5">
                  <c:v>1017.7555626713907</c:v>
                </c:pt>
                <c:pt idx="6">
                  <c:v>1226.7118116228989</c:v>
                </c:pt>
                <c:pt idx="7">
                  <c:v>1437.5068755651805</c:v>
                </c:pt>
                <c:pt idx="8">
                  <c:v>1650.1569360701542</c:v>
                </c:pt>
                <c:pt idx="9">
                  <c:v>1864.6783171075715</c:v>
                </c:pt>
                <c:pt idx="10">
                  <c:v>2081.0874862981182</c:v>
                </c:pt>
                <c:pt idx="11">
                  <c:v>2299.4010561775417</c:v>
                </c:pt>
                <c:pt idx="12">
                  <c:v>2519.635785471904</c:v>
                </c:pt>
                <c:pt idx="13">
                  <c:v>2741.8085803840568</c:v>
                </c:pt>
                <c:pt idx="14">
                  <c:v>2965.9364958914366</c:v>
                </c:pt>
                <c:pt idx="15">
                  <c:v>3192.0367370552813</c:v>
                </c:pt>
                <c:pt idx="16">
                  <c:v>3420.1266603413678</c:v>
                </c:pt>
                <c:pt idx="17">
                  <c:v>3650.223774952372</c:v>
                </c:pt>
                <c:pt idx="18">
                  <c:v>3882.3457441719529</c:v>
                </c:pt>
                <c:pt idx="19">
                  <c:v>4116.5103867206662</c:v>
                </c:pt>
                <c:pt idx="20">
                  <c:v>4352.7356781238077</c:v>
                </c:pt>
                <c:pt idx="21">
                  <c:v>4591.0397520912975</c:v>
                </c:pt>
                <c:pt idx="22">
                  <c:v>4831.4409019097011</c:v>
                </c:pt>
                <c:pt idx="23">
                  <c:v>5073.9575818465064</c:v>
                </c:pt>
                <c:pt idx="24">
                  <c:v>5318.6084085667553</c:v>
                </c:pt>
                <c:pt idx="25">
                  <c:v>5565.4121625621428</c:v>
                </c:pt>
                <c:pt idx="26">
                  <c:v>5814.3877895926898</c:v>
                </c:pt>
                <c:pt idx="27">
                  <c:v>6065.5544021411051</c:v>
                </c:pt>
                <c:pt idx="28">
                  <c:v>6318.9312808799468</c:v>
                </c:pt>
                <c:pt idx="29">
                  <c:v>6574.5378761516904</c:v>
                </c:pt>
                <c:pt idx="30">
                  <c:v>6832.3938094618252</c:v>
                </c:pt>
                <c:pt idx="31">
                  <c:v>7092.5188749850895</c:v>
                </c:pt>
                <c:pt idx="32">
                  <c:v>7354.9330410849579</c:v>
                </c:pt>
                <c:pt idx="33">
                  <c:v>7619.6564518465057</c:v>
                </c:pt>
                <c:pt idx="34">
                  <c:v>7886.7094286227548</c:v>
                </c:pt>
                <c:pt idx="35">
                  <c:v>8156.1124715946353</c:v>
                </c:pt>
                <c:pt idx="36">
                  <c:v>8427.8862613446672</c:v>
                </c:pt>
                <c:pt idx="37">
                  <c:v>8702.0516604445002</c:v>
                </c:pt>
                <c:pt idx="38">
                  <c:v>8978.6297150564114</c:v>
                </c:pt>
                <c:pt idx="39">
                  <c:v>9257.6416565489071</c:v>
                </c:pt>
                <c:pt idx="40">
                  <c:v>9539.1089031265383</c:v>
                </c:pt>
                <c:pt idx="41">
                  <c:v>9823.053061474051</c:v>
                </c:pt>
                <c:pt idx="42">
                  <c:v>10109.495928415023</c:v>
                </c:pt>
                <c:pt idx="43">
                  <c:v>10398.459492585074</c:v>
                </c:pt>
                <c:pt idx="44">
                  <c:v>10689.965936119823</c:v>
                </c:pt>
                <c:pt idx="45">
                  <c:v>10984.037636357678</c:v>
                </c:pt>
                <c:pt idx="46">
                  <c:v>11280.697167557626</c:v>
                </c:pt>
                <c:pt idx="47">
                  <c:v>11579.967302632132</c:v>
                </c:pt>
                <c:pt idx="48">
                  <c:v>11881.871014895296</c:v>
                </c:pt>
                <c:pt idx="49">
                  <c:v>12186.431479826375</c:v>
                </c:pt>
                <c:pt idx="50">
                  <c:v>12493.672076848847</c:v>
                </c:pt>
                <c:pt idx="51">
                  <c:v>12803.616391125117</c:v>
                </c:pt>
                <c:pt idx="52">
                  <c:v>13116.288215367018</c:v>
                </c:pt>
                <c:pt idx="53">
                  <c:v>13431.711551662247</c:v>
                </c:pt>
                <c:pt idx="54">
                  <c:v>13749.910613316875</c:v>
                </c:pt>
                <c:pt idx="55">
                  <c:v>14070.909826714063</c:v>
                </c:pt>
                <c:pt idx="56">
                  <c:v>14394.733833189148</c:v>
                </c:pt>
                <c:pt idx="57">
                  <c:v>14721.407490921212</c:v>
                </c:pt>
                <c:pt idx="58">
                  <c:v>15050.955876841319</c:v>
                </c:pt>
                <c:pt idx="59">
                  <c:v>15383.404288557522</c:v>
                </c:pt>
                <c:pt idx="60">
                  <c:v>15718.778246296828</c:v>
                </c:pt>
                <c:pt idx="61">
                  <c:v>16057.103494864241</c:v>
                </c:pt>
                <c:pt idx="62">
                  <c:v>16398.406005619046</c:v>
                </c:pt>
                <c:pt idx="63">
                  <c:v>16742.711978468495</c:v>
                </c:pt>
                <c:pt idx="64">
                  <c:v>17090.047843879016</c:v>
                </c:pt>
                <c:pt idx="65">
                  <c:v>17440.440264905152</c:v>
                </c:pt>
                <c:pt idx="66">
                  <c:v>17793.916139236317</c:v>
                </c:pt>
                <c:pt idx="67">
                  <c:v>18150.502601261596</c:v>
                </c:pt>
                <c:pt idx="68">
                  <c:v>18510.227024152697</c:v>
                </c:pt>
                <c:pt idx="69">
                  <c:v>18873.117021965241</c:v>
                </c:pt>
                <c:pt idx="70">
                  <c:v>19239.200451758534</c:v>
                </c:pt>
                <c:pt idx="71">
                  <c:v>19608.505415734009</c:v>
                </c:pt>
                <c:pt idx="72">
                  <c:v>19981.060263392468</c:v>
                </c:pt>
                <c:pt idx="73">
                  <c:v>20356.893593710323</c:v>
                </c:pt>
                <c:pt idx="74">
                  <c:v>20736.034257334974</c:v>
                </c:pt>
                <c:pt idx="75">
                  <c:v>21118.511358799522</c:v>
                </c:pt>
                <c:pt idx="76">
                  <c:v>21504.354258756957</c:v>
                </c:pt>
                <c:pt idx="77">
                  <c:v>21893.592576234019</c:v>
                </c:pt>
                <c:pt idx="78">
                  <c:v>22286.256190904878</c:v>
                </c:pt>
                <c:pt idx="79">
                  <c:v>22682.375245384843</c:v>
                </c:pt>
                <c:pt idx="80">
                  <c:v>23081.980147544229</c:v>
                </c:pt>
                <c:pt idx="81">
                  <c:v>23485.101572842617</c:v>
                </c:pt>
                <c:pt idx="82">
                  <c:v>23891.770466683633</c:v>
                </c:pt>
                <c:pt idx="83">
                  <c:v>24302.01804679045</c:v>
                </c:pt>
                <c:pt idx="84">
                  <c:v>24715.875805602205</c:v>
                </c:pt>
                <c:pt idx="85">
                  <c:v>25133.375512691506</c:v>
                </c:pt>
                <c:pt idx="86">
                  <c:v>25554.549217203192</c:v>
                </c:pt>
                <c:pt idx="87">
                  <c:v>25979.429250314581</c:v>
                </c:pt>
                <c:pt idx="88">
                  <c:v>26408.048227717351</c:v>
                </c:pt>
                <c:pt idx="89">
                  <c:v>26840.439052121263</c:v>
                </c:pt>
                <c:pt idx="90">
                  <c:v>27276.63491577993</c:v>
                </c:pt>
                <c:pt idx="91">
                  <c:v>27716.669303038794</c:v>
                </c:pt>
                <c:pt idx="92">
                  <c:v>28160.575992905535</c:v>
                </c:pt>
                <c:pt idx="93">
                  <c:v>28608.389061643102</c:v>
                </c:pt>
                <c:pt idx="94">
                  <c:v>29060.142885385561</c:v>
                </c:pt>
                <c:pt idx="95">
                  <c:v>29515.872142776956</c:v>
                </c:pt>
                <c:pt idx="96">
                  <c:v>29975.611817633395</c:v>
                </c:pt>
                <c:pt idx="97">
                  <c:v>30439.39720162857</c:v>
                </c:pt>
                <c:pt idx="98">
                  <c:v>30907.2638970029</c:v>
                </c:pt>
                <c:pt idx="99">
                  <c:v>31379.247819296525</c:v>
                </c:pt>
                <c:pt idx="100">
                  <c:v>31855.385200106335</c:v>
                </c:pt>
                <c:pt idx="101">
                  <c:v>32335.712589867271</c:v>
                </c:pt>
                <c:pt idx="102">
                  <c:v>32820.266860658099</c:v>
                </c:pt>
                <c:pt idx="103">
                  <c:v>33309.085209031888</c:v>
                </c:pt>
                <c:pt idx="104">
                  <c:v>33802.205158871366</c:v>
                </c:pt>
                <c:pt idx="105">
                  <c:v>34299.664564269435</c:v>
                </c:pt>
                <c:pt idx="106">
                  <c:v>34801.501612435008</c:v>
                </c:pt>
                <c:pt idx="107">
                  <c:v>35307.754826624434</c:v>
                </c:pt>
                <c:pt idx="108">
                  <c:v>35818.463069098732</c:v>
                </c:pt>
                <c:pt idx="109">
                  <c:v>36333.6655441068</c:v>
                </c:pt>
                <c:pt idx="110">
                  <c:v>36853.401800894942</c:v>
                </c:pt>
                <c:pt idx="111">
                  <c:v>37377.711736742815</c:v>
                </c:pt>
                <c:pt idx="112">
                  <c:v>37906.635600026151</c:v>
                </c:pt>
                <c:pt idx="113">
                  <c:v>38440.213993306381</c:v>
                </c:pt>
                <c:pt idx="114">
                  <c:v>38978.487876447478</c:v>
                </c:pt>
                <c:pt idx="115">
                  <c:v>39521.498569760217</c:v>
                </c:pt>
                <c:pt idx="116">
                  <c:v>40069.287757174105</c:v>
                </c:pt>
                <c:pt idx="117">
                  <c:v>40621.897489437237</c:v>
                </c:pt>
                <c:pt idx="118">
                  <c:v>41179.370187344284</c:v>
                </c:pt>
                <c:pt idx="119">
                  <c:v>41741.748644992913</c:v>
                </c:pt>
                <c:pt idx="120">
                  <c:v>42309.07603306885</c:v>
                </c:pt>
                <c:pt idx="121">
                  <c:v>42881.395902159857</c:v>
                </c:pt>
                <c:pt idx="122">
                  <c:v>43458.752186098864</c:v>
                </c:pt>
                <c:pt idx="123">
                  <c:v>44041.18920533653</c:v>
                </c:pt>
                <c:pt idx="124">
                  <c:v>44628.751670343489</c:v>
                </c:pt>
                <c:pt idx="125">
                  <c:v>45221.484685042509</c:v>
                </c:pt>
                <c:pt idx="126">
                  <c:v>45819.43375027088</c:v>
                </c:pt>
                <c:pt idx="127">
                  <c:v>46422.644767273261</c:v>
                </c:pt>
                <c:pt idx="128">
                  <c:v>47031.164041225267</c:v>
                </c:pt>
                <c:pt idx="129">
                  <c:v>47645.038284788046</c:v>
                </c:pt>
                <c:pt idx="130">
                  <c:v>48264.314621694182</c:v>
                </c:pt>
                <c:pt idx="131">
                  <c:v>48889.04059036509</c:v>
                </c:pt>
                <c:pt idx="132">
                  <c:v>49519.264147560301</c:v>
                </c:pt>
                <c:pt idx="133">
                  <c:v>50155.033672058831</c:v>
                </c:pt>
                <c:pt idx="134">
                  <c:v>50796.397968372949</c:v>
                </c:pt>
                <c:pt idx="135">
                  <c:v>51443.406270494634</c:v>
                </c:pt>
                <c:pt idx="136">
                  <c:v>52096.108245674986</c:v>
                </c:pt>
                <c:pt idx="137">
                  <c:v>52754.553998236923</c:v>
                </c:pt>
                <c:pt idx="138">
                  <c:v>53418.794073421406</c:v>
                </c:pt>
                <c:pt idx="139">
                  <c:v>54088.879461267512</c:v>
                </c:pt>
                <c:pt idx="140">
                  <c:v>54764.861600526667</c:v>
                </c:pt>
                <c:pt idx="141">
                  <c:v>55446.792382611304</c:v>
                </c:pt>
                <c:pt idx="142">
                  <c:v>56134.724155578282</c:v>
                </c:pt>
                <c:pt idx="143">
                  <c:v>56828.709728147369</c:v>
                </c:pt>
                <c:pt idx="144">
                  <c:v>57528.802373755068</c:v>
                </c:pt>
                <c:pt idx="145">
                  <c:v>58235.05583464411</c:v>
                </c:pt>
                <c:pt idx="146">
                  <c:v>58947.524325988976</c:v>
                </c:pt>
                <c:pt idx="147">
                  <c:v>59666.26254005768</c:v>
                </c:pt>
                <c:pt idx="148">
                  <c:v>60391.325650410188</c:v>
                </c:pt>
                <c:pt idx="149">
                  <c:v>61122.769316133796</c:v>
                </c:pt>
                <c:pt idx="150">
                  <c:v>61860.649686115772</c:v>
                </c:pt>
                <c:pt idx="151">
                  <c:v>62605.023403353589</c:v>
                </c:pt>
                <c:pt idx="152">
                  <c:v>63355.947609303097</c:v>
                </c:pt>
                <c:pt idx="153">
                  <c:v>64113.479948264961</c:v>
                </c:pt>
                <c:pt idx="154">
                  <c:v>64877.678571809694</c:v>
                </c:pt>
                <c:pt idx="155">
                  <c:v>65648.602143241616</c:v>
                </c:pt>
                <c:pt idx="156">
                  <c:v>66426.309842102142</c:v>
                </c:pt>
                <c:pt idx="157">
                  <c:v>67210.861368712634</c:v>
                </c:pt>
                <c:pt idx="158">
                  <c:v>68002.316948757303</c:v>
                </c:pt>
                <c:pt idx="159">
                  <c:v>68800.737337906365</c:v>
                </c:pt>
                <c:pt idx="160">
                  <c:v>69606.183826479944</c:v>
                </c:pt>
                <c:pt idx="161">
                  <c:v>70418.718244152973</c:v>
                </c:pt>
                <c:pt idx="162">
                  <c:v>71238.402964701512</c:v>
                </c:pt>
                <c:pt idx="163">
                  <c:v>72065.300910790887</c:v>
                </c:pt>
                <c:pt idx="164">
                  <c:v>72899.475558805847</c:v>
                </c:pt>
                <c:pt idx="165">
                  <c:v>73740.990943723344</c:v>
                </c:pt>
                <c:pt idx="166">
                  <c:v>74589.911664028114</c:v>
                </c:pt>
                <c:pt idx="167">
                  <c:v>75446.302886671561</c:v>
                </c:pt>
                <c:pt idx="168">
                  <c:v>76310.230352074272</c:v>
                </c:pt>
                <c:pt idx="169">
                  <c:v>77181.760379172527</c:v>
                </c:pt>
                <c:pt idx="170">
                  <c:v>78060.95987050925</c:v>
                </c:pt>
                <c:pt idx="171">
                  <c:v>78947.896317369727</c:v>
                </c:pt>
                <c:pt idx="172">
                  <c:v>79842.637804962578</c:v>
                </c:pt>
                <c:pt idx="173">
                  <c:v>80745.253017646246</c:v>
                </c:pt>
                <c:pt idx="174">
                  <c:v>81655.811244201526</c:v>
                </c:pt>
                <c:pt idx="175">
                  <c:v>82574.3823831505</c:v>
                </c:pt>
                <c:pt idx="176">
                  <c:v>83501.03694812223</c:v>
                </c:pt>
                <c:pt idx="177">
                  <c:v>84435.846073265711</c:v>
                </c:pt>
                <c:pt idx="178">
                  <c:v>85378.881518710448</c:v>
                </c:pt>
                <c:pt idx="179">
                  <c:v>86330.215676075095</c:v>
                </c:pt>
                <c:pt idx="180">
                  <c:v>87289.921574024556</c:v>
                </c:pt>
                <c:pt idx="181">
                  <c:v>88258.072883875968</c:v>
                </c:pt>
                <c:pt idx="182">
                  <c:v>89234.743925254079</c:v>
                </c:pt>
                <c:pt idx="183">
                  <c:v>90220.009671796317</c:v>
                </c:pt>
                <c:pt idx="184">
                  <c:v>91213.945756908128</c:v>
                </c:pt>
                <c:pt idx="185">
                  <c:v>92216.628479568913</c:v>
                </c:pt>
                <c:pt idx="186">
                  <c:v>93228.13481018912</c:v>
                </c:pt>
                <c:pt idx="187">
                  <c:v>94248.54239651878</c:v>
                </c:pt>
                <c:pt idx="188">
                  <c:v>95277.929569608139</c:v>
                </c:pt>
                <c:pt idx="189">
                  <c:v>96316.375349820693</c:v>
                </c:pt>
                <c:pt idx="190">
                  <c:v>97363.959452899115</c:v>
                </c:pt>
                <c:pt idx="191">
                  <c:v>98420.76229608462</c:v>
                </c:pt>
                <c:pt idx="192">
                  <c:v>99486.865004290172</c:v>
                </c:pt>
                <c:pt idx="193">
                  <c:v>100562.34941632792</c:v>
                </c:pt>
                <c:pt idx="194">
                  <c:v>101647.29809119161</c:v>
                </c:pt>
                <c:pt idx="195">
                  <c:v>102741.79431439409</c:v>
                </c:pt>
                <c:pt idx="196">
                  <c:v>103845.92210436077</c:v>
                </c:pt>
                <c:pt idx="197">
                  <c:v>104959.76621887914</c:v>
                </c:pt>
                <c:pt idx="198">
                  <c:v>106083.41216160529</c:v>
                </c:pt>
                <c:pt idx="199">
                  <c:v>107216.94618862741</c:v>
                </c:pt>
                <c:pt idx="200">
                  <c:v>108360.45531508733</c:v>
                </c:pt>
                <c:pt idx="201">
                  <c:v>109514.02732186009</c:v>
                </c:pt>
                <c:pt idx="202">
                  <c:v>110677.75076229246</c:v>
                </c:pt>
                <c:pt idx="203">
                  <c:v>111851.71496900063</c:v>
                </c:pt>
                <c:pt idx="204">
                  <c:v>113036.01006072784</c:v>
                </c:pt>
                <c:pt idx="205">
                  <c:v>114230.72694926224</c:v>
                </c:pt>
                <c:pt idx="206">
                  <c:v>115435.95734641576</c:v>
                </c:pt>
                <c:pt idx="207">
                  <c:v>116651.79377106421</c:v>
                </c:pt>
                <c:pt idx="208">
                  <c:v>117878.32955624958</c:v>
                </c:pt>
                <c:pt idx="209">
                  <c:v>119115.65885634457</c:v>
                </c:pt>
                <c:pt idx="210">
                  <c:v>120363.87665428041</c:v>
                </c:pt>
                <c:pt idx="211">
                  <c:v>121623.07876883808</c:v>
                </c:pt>
                <c:pt idx="212">
                  <c:v>122893.36186200386</c:v>
                </c:pt>
                <c:pt idx="213">
                  <c:v>124174.82344638949</c:v>
                </c:pt>
                <c:pt idx="214">
                  <c:v>125467.56189271771</c:v>
                </c:pt>
                <c:pt idx="215">
                  <c:v>126771.67643737362</c:v>
                </c:pt>
                <c:pt idx="216">
                  <c:v>128087.26719002251</c:v>
                </c:pt>
                <c:pt idx="217">
                  <c:v>129414.43514129471</c:v>
                </c:pt>
                <c:pt idx="218">
                  <c:v>130753.28217053811</c:v>
                </c:pt>
                <c:pt idx="219">
                  <c:v>132103.91105363885</c:v>
                </c:pt>
                <c:pt idx="220">
                  <c:v>133466.42547091088</c:v>
                </c:pt>
                <c:pt idx="221">
                  <c:v>134840.93001505488</c:v>
                </c:pt>
                <c:pt idx="222">
                  <c:v>136227.53019918737</c:v>
                </c:pt>
                <c:pt idx="223">
                  <c:v>137626.33246494021</c:v>
                </c:pt>
                <c:pt idx="224">
                  <c:v>139037.44419063168</c:v>
                </c:pt>
                <c:pt idx="225">
                  <c:v>140460.97369950922</c:v>
                </c:pt>
                <c:pt idx="226">
                  <c:v>141897.0302680649</c:v>
                </c:pt>
                <c:pt idx="227">
                  <c:v>143345.72413442389</c:v>
                </c:pt>
                <c:pt idx="228">
                  <c:v>144807.16650680683</c:v>
                </c:pt>
                <c:pt idx="229">
                  <c:v>146281.46957206674</c:v>
                </c:pt>
                <c:pt idx="230">
                  <c:v>147768.74650430091</c:v>
                </c:pt>
                <c:pt idx="231">
                  <c:v>149269.11147353877</c:v>
                </c:pt>
                <c:pt idx="232">
                  <c:v>150782.67965450592</c:v>
                </c:pt>
                <c:pt idx="233">
                  <c:v>152309.56723546557</c:v>
                </c:pt>
                <c:pt idx="234">
                  <c:v>153849.89142713766</c:v>
                </c:pt>
                <c:pt idx="235">
                  <c:v>155403.77047169648</c:v>
                </c:pt>
                <c:pt idx="236">
                  <c:v>156971.3236518474</c:v>
                </c:pt>
                <c:pt idx="237">
                  <c:v>158552.67129998366</c:v>
                </c:pt>
                <c:pt idx="238">
                  <c:v>160147.9348074235</c:v>
                </c:pt>
                <c:pt idx="239">
                  <c:v>161757.23663372884</c:v>
                </c:pt>
                <c:pt idx="240">
                  <c:v>163380.70031610565</c:v>
                </c:pt>
                <c:pt idx="241">
                  <c:v>165018.45047888739</c:v>
                </c:pt>
                <c:pt idx="242">
                  <c:v>166670.61284310161</c:v>
                </c:pt>
                <c:pt idx="243">
                  <c:v>168337.3142361209</c:v>
                </c:pt>
                <c:pt idx="244">
                  <c:v>170018.68260139876</c:v>
                </c:pt>
                <c:pt idx="245">
                  <c:v>171714.84700829108</c:v>
                </c:pt>
                <c:pt idx="246">
                  <c:v>173425.93766196404</c:v>
                </c:pt>
                <c:pt idx="247">
                  <c:v>175152.08591338931</c:v>
                </c:pt>
                <c:pt idx="248">
                  <c:v>176893.42426942714</c:v>
                </c:pt>
                <c:pt idx="249">
                  <c:v>178650.0864029981</c:v>
                </c:pt>
                <c:pt idx="250">
                  <c:v>180422.20716334449</c:v>
                </c:pt>
                <c:pt idx="251">
                  <c:v>182209.92258638193</c:v>
                </c:pt>
                <c:pt idx="252">
                  <c:v>184013.36990514208</c:v>
                </c:pt>
                <c:pt idx="253">
                  <c:v>185832.68756030733</c:v>
                </c:pt>
                <c:pt idx="254">
                  <c:v>187668.01521083803</c:v>
                </c:pt>
                <c:pt idx="255">
                  <c:v>189519.49374469341</c:v>
                </c:pt>
                <c:pt idx="256">
                  <c:v>191387.26528964672</c:v>
                </c:pt>
                <c:pt idx="257">
                  <c:v>193271.47322419562</c:v>
                </c:pt>
                <c:pt idx="258">
                  <c:v>195172.26218856854</c:v>
                </c:pt>
                <c:pt idx="259">
                  <c:v>197089.77809582793</c:v>
                </c:pt>
                <c:pt idx="260">
                  <c:v>199024.16814307121</c:v>
                </c:pt>
                <c:pt idx="261">
                  <c:v>200975.58082273023</c:v>
                </c:pt>
                <c:pt idx="262">
                  <c:v>202944.16593397025</c:v>
                </c:pt>
                <c:pt idx="263">
                  <c:v>204930.07459418918</c:v>
                </c:pt>
                <c:pt idx="264">
                  <c:v>206933.45925061803</c:v>
                </c:pt>
                <c:pt idx="265">
                  <c:v>208954.47369202349</c:v>
                </c:pt>
                <c:pt idx="266">
                  <c:v>210993.27306051328</c:v>
                </c:pt>
                <c:pt idx="267">
                  <c:v>213050.01386344581</c:v>
                </c:pt>
                <c:pt idx="268">
                  <c:v>215124.85398544415</c:v>
                </c:pt>
                <c:pt idx="269">
                  <c:v>217217.95270051606</c:v>
                </c:pt>
                <c:pt idx="270">
                  <c:v>219329.47068428062</c:v>
                </c:pt>
                <c:pt idx="271">
                  <c:v>221459.5700263023</c:v>
                </c:pt>
                <c:pt idx="272">
                  <c:v>223608.41424253376</c:v>
                </c:pt>
                <c:pt idx="273">
                  <c:v>225776.16828786806</c:v>
                </c:pt>
                <c:pt idx="274">
                  <c:v>227962.9985688013</c:v>
                </c:pt>
                <c:pt idx="275">
                  <c:v>230169.07295620674</c:v>
                </c:pt>
                <c:pt idx="276">
                  <c:v>232394.56079822136</c:v>
                </c:pt>
                <c:pt idx="277">
                  <c:v>234639.63293324571</c:v>
                </c:pt>
                <c:pt idx="278">
                  <c:v>236904.46170305827</c:v>
                </c:pt>
                <c:pt idx="279">
                  <c:v>239189.22096604519</c:v>
                </c:pt>
                <c:pt idx="280">
                  <c:v>241494.0861105464</c:v>
                </c:pt>
                <c:pt idx="281">
                  <c:v>243819.2340683192</c:v>
                </c:pt>
                <c:pt idx="282">
                  <c:v>246164.84332812042</c:v>
                </c:pt>
                <c:pt idx="283">
                  <c:v>248531.09394940789</c:v>
                </c:pt>
                <c:pt idx="284">
                  <c:v>250918.16757616267</c:v>
                </c:pt>
                <c:pt idx="285">
                  <c:v>253326.24745083289</c:v>
                </c:pt>
                <c:pt idx="286">
                  <c:v>255755.51842840022</c:v>
                </c:pt>
                <c:pt idx="287">
                  <c:v>258206.16699057014</c:v>
                </c:pt>
                <c:pt idx="288">
                  <c:v>260678.38126008716</c:v>
                </c:pt>
                <c:pt idx="289">
                  <c:v>263172.35101517593</c:v>
                </c:pt>
                <c:pt idx="290">
                  <c:v>265688.26770410949</c:v>
                </c:pt>
                <c:pt idx="291">
                  <c:v>268226.32445990568</c:v>
                </c:pt>
                <c:pt idx="292">
                  <c:v>270786.71611515287</c:v>
                </c:pt>
                <c:pt idx="293">
                  <c:v>273369.63921696623</c:v>
                </c:pt>
                <c:pt idx="294">
                  <c:v>275975.29204207554</c:v>
                </c:pt>
                <c:pt idx="295">
                  <c:v>278603.87461204582</c:v>
                </c:pt>
                <c:pt idx="296">
                  <c:v>281255.58870863181</c:v>
                </c:pt>
                <c:pt idx="297">
                  <c:v>283930.63788926776</c:v>
                </c:pt>
                <c:pt idx="298">
                  <c:v>286629.22750269331</c:v>
                </c:pt>
                <c:pt idx="299">
                  <c:v>289351.56470471702</c:v>
                </c:pt>
                <c:pt idx="300">
                  <c:v>292097.85847411852</c:v>
                </c:pt>
                <c:pt idx="301">
                  <c:v>294868.31962869078</c:v>
                </c:pt>
                <c:pt idx="302">
                  <c:v>297663.16084142326</c:v>
                </c:pt>
                <c:pt idx="303">
                  <c:v>300482.59665682778</c:v>
                </c:pt>
                <c:pt idx="304">
                  <c:v>303326.84350740787</c:v>
                </c:pt>
                <c:pt idx="305">
                  <c:v>306196.11973027309</c:v>
                </c:pt>
                <c:pt idx="306">
                  <c:v>309090.64558389952</c:v>
                </c:pt>
                <c:pt idx="307">
                  <c:v>312010.64326503786</c:v>
                </c:pt>
                <c:pt idx="308">
                  <c:v>314956.33692577021</c:v>
                </c:pt>
                <c:pt idx="309">
                  <c:v>317927.95269071701</c:v>
                </c:pt>
                <c:pt idx="310">
                  <c:v>320925.71867439529</c:v>
                </c:pt>
                <c:pt idx="311">
                  <c:v>323949.86499872996</c:v>
                </c:pt>
                <c:pt idx="312">
                  <c:v>327000.62381071877</c:v>
                </c:pt>
                <c:pt idx="313">
                  <c:v>330078.22930025309</c:v>
                </c:pt>
                <c:pt idx="314">
                  <c:v>333182.9177180953</c:v>
                </c:pt>
                <c:pt idx="315">
                  <c:v>336314.92739401455</c:v>
                </c:pt>
                <c:pt idx="316">
                  <c:v>339474.49875508191</c:v>
                </c:pt>
                <c:pt idx="317">
                  <c:v>342661.87434412661</c:v>
                </c:pt>
                <c:pt idx="318">
                  <c:v>345877.29883835494</c:v>
                </c:pt>
                <c:pt idx="319">
                  <c:v>349121.01906813245</c:v>
                </c:pt>
                <c:pt idx="320">
                  <c:v>352393.28403593204</c:v>
                </c:pt>
                <c:pt idx="321">
                  <c:v>355694.34493544826</c:v>
                </c:pt>
                <c:pt idx="322">
                  <c:v>359024.45517088019</c:v>
                </c:pt>
                <c:pt idx="323">
                  <c:v>362383.87037638394</c:v>
                </c:pt>
                <c:pt idx="324">
                  <c:v>365772.8484356961</c:v>
                </c:pt>
                <c:pt idx="325">
                  <c:v>369191.64950193022</c:v>
                </c:pt>
                <c:pt idx="326">
                  <c:v>372640.53601754719</c:v>
                </c:pt>
                <c:pt idx="327">
                  <c:v>376119.77273450157</c:v>
                </c:pt>
                <c:pt idx="328">
                  <c:v>379629.62673456519</c:v>
                </c:pt>
                <c:pt idx="329">
                  <c:v>383170.36744982935</c:v>
                </c:pt>
                <c:pt idx="330">
                  <c:v>386742.26668338786</c:v>
                </c:pt>
                <c:pt idx="331">
                  <c:v>390345.59863020165</c:v>
                </c:pt>
                <c:pt idx="332">
                  <c:v>393980.63989814743</c:v>
                </c:pt>
                <c:pt idx="333">
                  <c:v>397647.66952925111</c:v>
                </c:pt>
                <c:pt idx="334">
                  <c:v>401346.96902110853</c:v>
                </c:pt>
                <c:pt idx="335">
                  <c:v>405078.82234849426</c:v>
                </c:pt>
                <c:pt idx="336">
                  <c:v>408843.51598516101</c:v>
                </c:pt>
                <c:pt idx="337">
                  <c:v>412641.33892583044</c:v>
                </c:pt>
                <c:pt idx="338">
                  <c:v>416472.58270837774</c:v>
                </c:pt>
                <c:pt idx="339">
                  <c:v>420337.54143621144</c:v>
                </c:pt>
                <c:pt idx="340">
                  <c:v>424236.5118008501</c:v>
                </c:pt>
                <c:pt idx="341">
                  <c:v>428169.7931046976</c:v>
                </c:pt>
                <c:pt idx="342">
                  <c:v>432137.68728401896</c:v>
                </c:pt>
                <c:pt idx="343">
                  <c:v>436140.49893211835</c:v>
                </c:pt>
                <c:pt idx="344">
                  <c:v>440178.535322721</c:v>
                </c:pt>
                <c:pt idx="345">
                  <c:v>444252.10643356096</c:v>
                </c:pt>
                <c:pt idx="346">
                  <c:v>448361.52497017628</c:v>
                </c:pt>
                <c:pt idx="347">
                  <c:v>452507.10638991382</c:v>
                </c:pt>
                <c:pt idx="348">
                  <c:v>456689.16892614507</c:v>
                </c:pt>
                <c:pt idx="349">
                  <c:v>460908.03361269512</c:v>
                </c:pt>
                <c:pt idx="350">
                  <c:v>465164.02430848684</c:v>
                </c:pt>
                <c:pt idx="351">
                  <c:v>469457.46772240155</c:v>
                </c:pt>
                <c:pt idx="352">
                  <c:v>473788.69343835866</c:v>
                </c:pt>
                <c:pt idx="353">
                  <c:v>478158.03394061624</c:v>
                </c:pt>
                <c:pt idx="354">
                  <c:v>482565.82463929366</c:v>
                </c:pt>
                <c:pt idx="355">
                  <c:v>487012.40389611945</c:v>
                </c:pt>
                <c:pt idx="356">
                  <c:v>491498.11305040529</c:v>
                </c:pt>
                <c:pt idx="357">
                  <c:v>496023.29644524888</c:v>
                </c:pt>
                <c:pt idx="358">
                  <c:v>500588.30145396705</c:v>
                </c:pt>
                <c:pt idx="359">
                  <c:v>505193.47850676195</c:v>
                </c:pt>
                <c:pt idx="360">
                  <c:v>509839.18111762148</c:v>
                </c:pt>
                <c:pt idx="361">
                  <c:v>514525.76591145655</c:v>
                </c:pt>
                <c:pt idx="362">
                  <c:v>519253.59265147737</c:v>
                </c:pt>
                <c:pt idx="363">
                  <c:v>524023.02426681039</c:v>
                </c:pt>
                <c:pt idx="364">
                  <c:v>528834.42688035837</c:v>
                </c:pt>
                <c:pt idx="365">
                  <c:v>533688.16983690555</c:v>
                </c:pt>
                <c:pt idx="366">
                  <c:v>538584.6257314703</c:v>
                </c:pt>
                <c:pt idx="367">
                  <c:v>543524.17043790722</c:v>
                </c:pt>
                <c:pt idx="368">
                  <c:v>548507.18313776085</c:v>
                </c:pt>
                <c:pt idx="369">
                  <c:v>553534.04634937318</c:v>
                </c:pt>
                <c:pt idx="370">
                  <c:v>558605.1459572477</c:v>
                </c:pt>
                <c:pt idx="371">
                  <c:v>563720.8712416715</c:v>
                </c:pt>
                <c:pt idx="372">
                  <c:v>568881.61490859825</c:v>
                </c:pt>
                <c:pt idx="373">
                  <c:v>574087.77311979386</c:v>
                </c:pt>
                <c:pt idx="374">
                  <c:v>579339.74552324798</c:v>
                </c:pt>
                <c:pt idx="375">
                  <c:v>584637.93528385251</c:v>
                </c:pt>
                <c:pt idx="376">
                  <c:v>589982.74911435042</c:v>
                </c:pt>
                <c:pt idx="377">
                  <c:v>595374.59730655665</c:v>
                </c:pt>
                <c:pt idx="378">
                  <c:v>600813.89376285439</c:v>
                </c:pt>
                <c:pt idx="379">
                  <c:v>606301.05602796748</c:v>
                </c:pt>
                <c:pt idx="380">
                  <c:v>611836.50532101362</c:v>
                </c:pt>
                <c:pt idx="381">
                  <c:v>617420.66656783852</c:v>
                </c:pt>
                <c:pt idx="382">
                  <c:v>623053.96843363554</c:v>
                </c:pt>
                <c:pt idx="383">
                  <c:v>628736.84335585148</c:v>
                </c:pt>
                <c:pt idx="384">
                  <c:v>634469.72757738293</c:v>
                </c:pt>
                <c:pt idx="385">
                  <c:v>640253.06118006387</c:v>
                </c:pt>
                <c:pt idx="386">
                  <c:v>646087.28811844846</c:v>
                </c:pt>
                <c:pt idx="387">
                  <c:v>651972.85625389079</c:v>
                </c:pt>
                <c:pt idx="388">
                  <c:v>657910.21738892503</c:v>
                </c:pt>
                <c:pt idx="389">
                  <c:v>663899.82730194752</c:v>
                </c:pt>
                <c:pt idx="390">
                  <c:v>669942.14578220469</c:v>
                </c:pt>
                <c:pt idx="391">
                  <c:v>676037.63666508812</c:v>
                </c:pt>
                <c:pt idx="392">
                  <c:v>682186.76786774094</c:v>
                </c:pt>
                <c:pt idx="393">
                  <c:v>688390.0114249771</c:v>
                </c:pt>
                <c:pt idx="394">
                  <c:v>694647.84352551692</c:v>
                </c:pt>
                <c:pt idx="395">
                  <c:v>700960.74454854149</c:v>
                </c:pt>
                <c:pt idx="396">
                  <c:v>707329.19910056866</c:v>
                </c:pt>
                <c:pt idx="397">
                  <c:v>713753.69605265372</c:v>
                </c:pt>
                <c:pt idx="398">
                  <c:v>720234.72857791709</c:v>
                </c:pt>
                <c:pt idx="399">
                  <c:v>726772.79418940272</c:v>
                </c:pt>
                <c:pt idx="400">
                  <c:v>733368.39477826946</c:v>
                </c:pt>
                <c:pt idx="401">
                  <c:v>740022.0366523182</c:v>
                </c:pt>
                <c:pt idx="402">
                  <c:v>746734.23057485861</c:v>
                </c:pt>
                <c:pt idx="403">
                  <c:v>753505.49180391734</c:v>
                </c:pt>
                <c:pt idx="404">
                  <c:v>760336.34013179177</c:v>
                </c:pt>
                <c:pt idx="405">
                  <c:v>767227.29992495151</c:v>
                </c:pt>
                <c:pt idx="406">
                  <c:v>774178.90016429103</c:v>
                </c:pt>
                <c:pt idx="407">
                  <c:v>781191.67448573676</c:v>
                </c:pt>
                <c:pt idx="408">
                  <c:v>788266.16122121119</c:v>
                </c:pt>
                <c:pt idx="409">
                  <c:v>795402.90343995788</c:v>
                </c:pt>
                <c:pt idx="410">
                  <c:v>802602.44899022952</c:v>
                </c:pt>
                <c:pt idx="411">
                  <c:v>809865.35054134356</c:v>
                </c:pt>
                <c:pt idx="412">
                  <c:v>817192.16562610737</c:v>
                </c:pt>
                <c:pt idx="413">
                  <c:v>824583.45668361709</c:v>
                </c:pt>
                <c:pt idx="414">
                  <c:v>832039.79110243288</c:v>
                </c:pt>
                <c:pt idx="415">
                  <c:v>839561.7412641343</c:v>
                </c:pt>
                <c:pt idx="416">
                  <c:v>847149.88458725868</c:v>
                </c:pt>
                <c:pt idx="417">
                  <c:v>854804.80357162654</c:v>
                </c:pt>
                <c:pt idx="418">
                  <c:v>862527.08584305691</c:v>
                </c:pt>
                <c:pt idx="419">
                  <c:v>870317.32419847581</c:v>
                </c:pt>
                <c:pt idx="420">
                  <c:v>878176.11665142234</c:v>
                </c:pt>
                <c:pt idx="421">
                  <c:v>886104.06647795485</c:v>
                </c:pt>
                <c:pt idx="422">
                  <c:v>894101.78226296091</c:v>
                </c:pt>
                <c:pt idx="423">
                  <c:v>902169.87794687494</c:v>
                </c:pt>
                <c:pt idx="424">
                  <c:v>910308.97287280741</c:v>
                </c:pt>
                <c:pt idx="425">
                  <c:v>918519.69183408807</c:v>
                </c:pt>
                <c:pt idx="426">
                  <c:v>926802.66512222809</c:v>
                </c:pt>
                <c:pt idx="427">
                  <c:v>935158.52857530373</c:v>
                </c:pt>
                <c:pt idx="428">
                  <c:v>943587.92362676642</c:v>
                </c:pt>
                <c:pt idx="429">
                  <c:v>952091.49735468195</c:v>
                </c:pt>
                <c:pt idx="430">
                  <c:v>960669.90253140312</c:v>
                </c:pt>
                <c:pt idx="431">
                  <c:v>969323.79767367942</c:v>
                </c:pt>
                <c:pt idx="432">
                  <c:v>978053.84709320776</c:v>
                </c:pt>
                <c:pt idx="433">
                  <c:v>986860.72094762803</c:v>
                </c:pt>
                <c:pt idx="434">
                  <c:v>995745.09529196715</c:v>
                </c:pt>
                <c:pt idx="435">
                  <c:v>1004707.6521305365</c:v>
                </c:pt>
                <c:pt idx="436">
                  <c:v>1013749.0794692852</c:v>
                </c:pt>
                <c:pt idx="437">
                  <c:v>1022870.0713686149</c:v>
                </c:pt>
                <c:pt idx="438">
                  <c:v>1032071.3279966587</c:v>
                </c:pt>
                <c:pt idx="439">
                  <c:v>1041353.5556830293</c:v>
                </c:pt>
                <c:pt idx="440">
                  <c:v>1050717.46697304</c:v>
                </c:pt>
                <c:pt idx="441">
                  <c:v>1060163.7806824027</c:v>
                </c:pt>
                <c:pt idx="442">
                  <c:v>1069693.2219524079</c:v>
                </c:pt>
                <c:pt idx="443">
                  <c:v>1079306.5223055889</c:v>
                </c:pt>
                <c:pt idx="444">
                  <c:v>1089004.4197018782</c:v>
                </c:pt>
                <c:pt idx="445">
                  <c:v>1098787.6585952546</c:v>
                </c:pt>
                <c:pt idx="446">
                  <c:v>1108656.9899908928</c:v>
                </c:pt>
                <c:pt idx="447">
                  <c:v>1118613.1715028128</c:v>
                </c:pt>
                <c:pt idx="448">
                  <c:v>1128656.9674120375</c:v>
                </c:pt>
                <c:pt idx="449">
                  <c:v>1138789.1487252635</c:v>
                </c:pt>
                <c:pt idx="450">
                  <c:v>1149010.4932340458</c:v>
                </c:pt>
                <c:pt idx="451">
                  <c:v>1159321.7855745053</c:v>
                </c:pt>
                <c:pt idx="452">
                  <c:v>1169723.817287561</c:v>
                </c:pt>
                <c:pt idx="453">
                  <c:v>1180217.3868796916</c:v>
                </c:pt>
                <c:pt idx="454">
                  <c:v>1190803.2998842329</c:v>
                </c:pt>
                <c:pt idx="455">
                  <c:v>1201482.3689232143</c:v>
                </c:pt>
                <c:pt idx="456">
                  <c:v>1212255.4137697385</c:v>
                </c:pt>
                <c:pt idx="457">
                  <c:v>1223123.2614109123</c:v>
                </c:pt>
                <c:pt idx="458">
                  <c:v>1234086.7461113282</c:v>
                </c:pt>
                <c:pt idx="459">
                  <c:v>1245146.709477108</c:v>
                </c:pt>
                <c:pt idx="460">
                  <c:v>1256304.0005205064</c:v>
                </c:pt>
                <c:pt idx="461">
                  <c:v>1267559.4757250869</c:v>
                </c:pt>
                <c:pt idx="462">
                  <c:v>1278913.9991114677</c:v>
                </c:pt>
                <c:pt idx="463">
                  <c:v>1290368.4423036487</c:v>
                </c:pt>
                <c:pt idx="464">
                  <c:v>1301923.6845959208</c:v>
                </c:pt>
                <c:pt idx="465">
                  <c:v>1313580.6130203649</c:v>
                </c:pt>
                <c:pt idx="466">
                  <c:v>1325340.122414944</c:v>
                </c:pt>
                <c:pt idx="467">
                  <c:v>1337203.1154921956</c:v>
                </c:pt>
                <c:pt idx="468">
                  <c:v>1349170.5029085269</c:v>
                </c:pt>
                <c:pt idx="469">
                  <c:v>1361243.203334122</c:v>
                </c:pt>
                <c:pt idx="470">
                  <c:v>1373422.1435234623</c:v>
                </c:pt>
                <c:pt idx="471">
                  <c:v>1385708.2583864687</c:v>
                </c:pt>
                <c:pt idx="472">
                  <c:v>1398102.4910602698</c:v>
                </c:pt>
                <c:pt idx="473">
                  <c:v>1410605.7929816002</c:v>
                </c:pt>
                <c:pt idx="474">
                  <c:v>1423219.1239598382</c:v>
                </c:pt>
                <c:pt idx="475">
                  <c:v>1435943.4522506848</c:v>
                </c:pt>
                <c:pt idx="476">
                  <c:v>1448779.7546304909</c:v>
                </c:pt>
                <c:pt idx="477">
                  <c:v>1461729.0164712393</c:v>
                </c:pt>
                <c:pt idx="478">
                  <c:v>1474792.2318161861</c:v>
                </c:pt>
                <c:pt idx="479">
                  <c:v>1487970.4034561685</c:v>
                </c:pt>
                <c:pt idx="480">
                  <c:v>1501264.5430065827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B5A-4CEF-9EA0-E46C5F8D9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47680"/>
        <c:axId val="570436592"/>
      </c:lineChart>
      <c:catAx>
        <c:axId val="5675476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436592"/>
        <c:crosses val="autoZero"/>
        <c:auto val="1"/>
        <c:lblAlgn val="ctr"/>
        <c:lblOffset val="100"/>
        <c:noMultiLvlLbl val="0"/>
      </c:catAx>
      <c:valAx>
        <c:axId val="570436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754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8</xdr:col>
      <xdr:colOff>0</xdr:colOff>
      <xdr:row>2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0C366A7-BC33-4658-A2CD-D533B67BD1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ua.ferreira" refreshedDate="44600.969417129629" createdVersion="6" refreshedVersion="7" minRefreshableVersion="3" recordCount="1016" xr:uid="{D57608F8-5136-4D8B-A4DA-FEC9D7A7A48F}">
  <cacheSource type="worksheet">
    <worksheetSource ref="B10:H1026" sheet="PRICE"/>
  </cacheSource>
  <cacheFields count="7">
    <cacheField name="Mês" numFmtId="166">
      <sharedItems containsSemiMixedTypes="0" containsString="0" containsNumber="1" containsInteger="1" minValue="0" maxValue="480" count="48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0"/>
      </sharedItems>
    </cacheField>
    <cacheField name="Saldo Inicial" numFmtId="165">
      <sharedItems containsSemiMixedTypes="0" containsString="0" containsNumber="1" minValue="0" maxValue="1487970.4034561685"/>
    </cacheField>
    <cacheField name="Juros" numFmtId="165">
      <sharedItems containsSemiMixedTypes="0" containsString="0" containsNumber="1" minValue="0" maxValue="13094.139550414284"/>
    </cacheField>
    <cacheField name="Saldo + Juros" numFmtId="165">
      <sharedItems containsSemiMixedTypes="0" containsString="0" containsNumber="1" minValue="0" maxValue="1501064.5430065827"/>
    </cacheField>
    <cacheField name="Investimento Mensal" numFmtId="165">
      <sharedItems containsSemiMixedTypes="0" containsString="0" containsNumber="1" containsInteger="1" minValue="0" maxValue="200"/>
    </cacheField>
    <cacheField name="Investimento Adicional" numFmtId="165">
      <sharedItems containsNonDate="0" containsString="0" containsBlank="1"/>
    </cacheField>
    <cacheField name="Saldo Final" numFmtId="165">
      <sharedItems containsSemiMixedTypes="0" containsString="0" containsNumber="1" minValue="0" maxValue="1501264.54300658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6">
  <r>
    <x v="0"/>
    <n v="0"/>
    <n v="0"/>
    <n v="0"/>
    <n v="200"/>
    <m/>
    <n v="200"/>
  </r>
  <r>
    <x v="1"/>
    <n v="200"/>
    <n v="1.76"/>
    <n v="201.76"/>
    <n v="200"/>
    <m/>
    <n v="401.76"/>
  </r>
  <r>
    <x v="2"/>
    <n v="401.76"/>
    <n v="3.535488"/>
    <n v="405.29548799999998"/>
    <n v="200"/>
    <m/>
    <n v="605.29548799999998"/>
  </r>
  <r>
    <x v="3"/>
    <n v="605.29548799999998"/>
    <n v="5.3266002944000004"/>
    <n v="610.62208829439999"/>
    <n v="200"/>
    <m/>
    <n v="810.62208829439999"/>
  </r>
  <r>
    <x v="4"/>
    <n v="810.62208829439999"/>
    <n v="7.1334743769907201"/>
    <n v="817.75556267139075"/>
    <n v="200"/>
    <m/>
    <n v="1017.7555626713907"/>
  </r>
  <r>
    <x v="5"/>
    <n v="1017.7555626713907"/>
    <n v="8.9562489515082397"/>
    <n v="1026.7118116228989"/>
    <n v="200"/>
    <m/>
    <n v="1226.7118116228989"/>
  </r>
  <r>
    <x v="6"/>
    <n v="1226.7118116228989"/>
    <n v="10.795063942281512"/>
    <n v="1237.5068755651805"/>
    <n v="200"/>
    <m/>
    <n v="1437.5068755651805"/>
  </r>
  <r>
    <x v="7"/>
    <n v="1437.5068755651805"/>
    <n v="12.65006050497359"/>
    <n v="1450.1569360701542"/>
    <n v="200"/>
    <m/>
    <n v="1650.1569360701542"/>
  </r>
  <r>
    <x v="8"/>
    <n v="1650.1569360701542"/>
    <n v="14.521381037417358"/>
    <n v="1664.6783171075715"/>
    <n v="200"/>
    <m/>
    <n v="1864.6783171075715"/>
  </r>
  <r>
    <x v="9"/>
    <n v="1864.6783171075715"/>
    <n v="16.409169190546631"/>
    <n v="1881.0874862981182"/>
    <n v="200"/>
    <m/>
    <n v="2081.0874862981182"/>
  </r>
  <r>
    <x v="10"/>
    <n v="2081.0874862981182"/>
    <n v="18.31356987942344"/>
    <n v="2099.4010561775417"/>
    <n v="200"/>
    <m/>
    <n v="2299.4010561775417"/>
  </r>
  <r>
    <x v="11"/>
    <n v="2299.4010561775417"/>
    <n v="20.234729294362367"/>
    <n v="2319.635785471904"/>
    <n v="200"/>
    <m/>
    <n v="2519.635785471904"/>
  </r>
  <r>
    <x v="12"/>
    <n v="2519.635785471904"/>
    <n v="22.172794912152757"/>
    <n v="2541.8085803840568"/>
    <n v="200"/>
    <m/>
    <n v="2741.8085803840568"/>
  </r>
  <r>
    <x v="13"/>
    <n v="2741.8085803840568"/>
    <n v="24.127915507379701"/>
    <n v="2765.9364958914366"/>
    <n v="200"/>
    <m/>
    <n v="2965.9364958914366"/>
  </r>
  <r>
    <x v="14"/>
    <n v="2965.9364958914366"/>
    <n v="26.100241163844643"/>
    <n v="2992.0367370552813"/>
    <n v="200"/>
    <m/>
    <n v="3192.0367370552813"/>
  </r>
  <r>
    <x v="15"/>
    <n v="3192.0367370552813"/>
    <n v="28.089923286086478"/>
    <n v="3220.1266603413678"/>
    <n v="200"/>
    <m/>
    <n v="3420.1266603413678"/>
  </r>
  <r>
    <x v="16"/>
    <n v="3420.1266603413678"/>
    <n v="30.097114611004038"/>
    <n v="3450.223774952372"/>
    <n v="200"/>
    <m/>
    <n v="3650.223774952372"/>
  </r>
  <r>
    <x v="17"/>
    <n v="3650.223774952372"/>
    <n v="32.121969219580876"/>
    <n v="3682.3457441719529"/>
    <n v="200"/>
    <m/>
    <n v="3882.3457441719529"/>
  </r>
  <r>
    <x v="18"/>
    <n v="3882.3457441719529"/>
    <n v="34.164642548713189"/>
    <n v="3916.5103867206662"/>
    <n v="200"/>
    <m/>
    <n v="4116.5103867206662"/>
  </r>
  <r>
    <x v="19"/>
    <n v="4116.5103867206662"/>
    <n v="36.225291403141867"/>
    <n v="4152.7356781238077"/>
    <n v="200"/>
    <m/>
    <n v="4352.7356781238077"/>
  </r>
  <r>
    <x v="20"/>
    <n v="4352.7356781238077"/>
    <n v="38.304073967489508"/>
    <n v="4391.0397520912975"/>
    <n v="200"/>
    <m/>
    <n v="4591.0397520912975"/>
  </r>
  <r>
    <x v="21"/>
    <n v="4591.0397520912975"/>
    <n v="40.401149818403418"/>
    <n v="4631.4409019097011"/>
    <n v="200"/>
    <m/>
    <n v="4831.4409019097011"/>
  </r>
  <r>
    <x v="22"/>
    <n v="4831.4409019097011"/>
    <n v="42.516679936805374"/>
    <n v="4873.9575818465064"/>
    <n v="200"/>
    <m/>
    <n v="5073.9575818465064"/>
  </r>
  <r>
    <x v="23"/>
    <n v="5073.9575818465064"/>
    <n v="44.650826720249256"/>
    <n v="5118.6084085667553"/>
    <n v="200"/>
    <m/>
    <n v="5318.6084085667553"/>
  </r>
  <r>
    <x v="24"/>
    <n v="5318.6084085667553"/>
    <n v="46.803753995387453"/>
    <n v="5365.4121625621428"/>
    <n v="200"/>
    <m/>
    <n v="5565.4121625621428"/>
  </r>
  <r>
    <x v="25"/>
    <n v="5565.4121625621428"/>
    <n v="48.97562703054686"/>
    <n v="5614.3877895926898"/>
    <n v="200"/>
    <m/>
    <n v="5814.3877895926898"/>
  </r>
  <r>
    <x v="26"/>
    <n v="5814.3877895926898"/>
    <n v="51.166612548415671"/>
    <n v="5865.5544021411051"/>
    <n v="200"/>
    <m/>
    <n v="6065.5544021411051"/>
  </r>
  <r>
    <x v="27"/>
    <n v="6065.5544021411051"/>
    <n v="53.376878738841725"/>
    <n v="6118.9312808799468"/>
    <n v="200"/>
    <m/>
    <n v="6318.9312808799468"/>
  </r>
  <r>
    <x v="28"/>
    <n v="6318.9312808799468"/>
    <n v="55.606595271743537"/>
    <n v="6374.5378761516904"/>
    <n v="200"/>
    <m/>
    <n v="6574.5378761516904"/>
  </r>
  <r>
    <x v="29"/>
    <n v="6574.5378761516904"/>
    <n v="57.85593331013488"/>
    <n v="6632.3938094618252"/>
    <n v="200"/>
    <m/>
    <n v="6832.3938094618252"/>
  </r>
  <r>
    <x v="30"/>
    <n v="6832.3938094618252"/>
    <n v="60.125065523264063"/>
    <n v="6892.5188749850895"/>
    <n v="200"/>
    <m/>
    <n v="7092.5188749850895"/>
  </r>
  <r>
    <x v="31"/>
    <n v="7092.5188749850895"/>
    <n v="62.414166099868794"/>
    <n v="7154.9330410849579"/>
    <n v="200"/>
    <m/>
    <n v="7354.9330410849579"/>
  </r>
  <r>
    <x v="32"/>
    <n v="7354.9330410849579"/>
    <n v="64.72341076154764"/>
    <n v="7419.6564518465057"/>
    <n v="200"/>
    <m/>
    <n v="7619.6564518465057"/>
  </r>
  <r>
    <x v="33"/>
    <n v="7619.6564518465057"/>
    <n v="67.052976776249253"/>
    <n v="7686.7094286227548"/>
    <n v="200"/>
    <m/>
    <n v="7886.7094286227548"/>
  </r>
  <r>
    <x v="34"/>
    <n v="7886.7094286227548"/>
    <n v="69.40304297188024"/>
    <n v="7956.1124715946353"/>
    <n v="200"/>
    <m/>
    <n v="8156.1124715946353"/>
  </r>
  <r>
    <x v="35"/>
    <n v="8156.1124715946353"/>
    <n v="71.77378975003279"/>
    <n v="8227.8862613446672"/>
    <n v="200"/>
    <m/>
    <n v="8427.8862613446672"/>
  </r>
  <r>
    <x v="36"/>
    <n v="8427.8862613446672"/>
    <n v="74.165399099833081"/>
    <n v="8502.0516604445002"/>
    <n v="200"/>
    <m/>
    <n v="8702.0516604445002"/>
  </r>
  <r>
    <x v="37"/>
    <n v="8702.0516604445002"/>
    <n v="76.578054611911611"/>
    <n v="8778.6297150564114"/>
    <n v="200"/>
    <m/>
    <n v="8978.6297150564114"/>
  </r>
  <r>
    <x v="38"/>
    <n v="8978.6297150564114"/>
    <n v="79.011941492496419"/>
    <n v="9057.6416565489071"/>
    <n v="200"/>
    <m/>
    <n v="9257.6416565489071"/>
  </r>
  <r>
    <x v="39"/>
    <n v="9257.6416565489071"/>
    <n v="81.467246577630391"/>
    <n v="9339.1089031265383"/>
    <n v="200"/>
    <m/>
    <n v="9539.1089031265383"/>
  </r>
  <r>
    <x v="40"/>
    <n v="9539.1089031265383"/>
    <n v="83.944158347513536"/>
    <n v="9623.053061474051"/>
    <n v="200"/>
    <m/>
    <n v="9823.053061474051"/>
  </r>
  <r>
    <x v="41"/>
    <n v="9823.053061474051"/>
    <n v="86.442866940971655"/>
    <n v="9909.4959284150227"/>
    <n v="200"/>
    <m/>
    <n v="10109.495928415023"/>
  </r>
  <r>
    <x v="42"/>
    <n v="10109.495928415023"/>
    <n v="88.963564170052209"/>
    <n v="10198.459492585074"/>
    <n v="200"/>
    <m/>
    <n v="10398.459492585074"/>
  </r>
  <r>
    <x v="43"/>
    <n v="10398.459492585074"/>
    <n v="91.506443534748655"/>
    <n v="10489.965936119823"/>
    <n v="200"/>
    <m/>
    <n v="10689.965936119823"/>
  </r>
  <r>
    <x v="44"/>
    <n v="10689.965936119823"/>
    <n v="94.071700237854444"/>
    <n v="10784.037636357678"/>
    <n v="200"/>
    <m/>
    <n v="10984.037636357678"/>
  </r>
  <r>
    <x v="45"/>
    <n v="10984.037636357678"/>
    <n v="96.659531199947565"/>
    <n v="11080.697167557626"/>
    <n v="200"/>
    <m/>
    <n v="11280.697167557626"/>
  </r>
  <r>
    <x v="46"/>
    <n v="11280.697167557626"/>
    <n v="99.27013507450711"/>
    <n v="11379.967302632132"/>
    <n v="200"/>
    <m/>
    <n v="11579.967302632132"/>
  </r>
  <r>
    <x v="47"/>
    <n v="11579.967302632132"/>
    <n v="101.90371226316277"/>
    <n v="11681.871014895296"/>
    <n v="200"/>
    <m/>
    <n v="11881.871014895296"/>
  </r>
  <r>
    <x v="48"/>
    <n v="11881.871014895296"/>
    <n v="104.56046493107861"/>
    <n v="11986.431479826375"/>
    <n v="200"/>
    <m/>
    <n v="12186.431479826375"/>
  </r>
  <r>
    <x v="49"/>
    <n v="12186.431479826375"/>
    <n v="107.2405970224721"/>
    <n v="12293.672076848847"/>
    <n v="200"/>
    <m/>
    <n v="12493.672076848847"/>
  </r>
  <r>
    <x v="50"/>
    <n v="12493.672076848847"/>
    <n v="109.94431427626986"/>
    <n v="12603.616391125117"/>
    <n v="200"/>
    <m/>
    <n v="12803.616391125117"/>
  </r>
  <r>
    <x v="51"/>
    <n v="12803.616391125117"/>
    <n v="112.67182424190104"/>
    <n v="12916.288215367018"/>
    <n v="200"/>
    <m/>
    <n v="13116.288215367018"/>
  </r>
  <r>
    <x v="52"/>
    <n v="13116.288215367018"/>
    <n v="115.42333629522976"/>
    <n v="13231.711551662247"/>
    <n v="200"/>
    <m/>
    <n v="13431.711551662247"/>
  </r>
  <r>
    <x v="53"/>
    <n v="13431.711551662247"/>
    <n v="118.19906165462778"/>
    <n v="13549.910613316875"/>
    <n v="200"/>
    <m/>
    <n v="13749.910613316875"/>
  </r>
  <r>
    <x v="54"/>
    <n v="13749.910613316875"/>
    <n v="120.99921339718851"/>
    <n v="13870.909826714063"/>
    <n v="200"/>
    <m/>
    <n v="14070.909826714063"/>
  </r>
  <r>
    <x v="55"/>
    <n v="14070.909826714063"/>
    <n v="123.82400647508376"/>
    <n v="14194.733833189148"/>
    <n v="200"/>
    <m/>
    <n v="14394.733833189148"/>
  </r>
  <r>
    <x v="56"/>
    <n v="14394.733833189148"/>
    <n v="126.67365773206451"/>
    <n v="14521.407490921212"/>
    <n v="200"/>
    <m/>
    <n v="14721.407490921212"/>
  </r>
  <r>
    <x v="57"/>
    <n v="14721.407490921212"/>
    <n v="129.54838592010668"/>
    <n v="14850.955876841319"/>
    <n v="200"/>
    <m/>
    <n v="15050.955876841319"/>
  </r>
  <r>
    <x v="58"/>
    <n v="15050.955876841319"/>
    <n v="132.44841171620362"/>
    <n v="15183.404288557522"/>
    <n v="200"/>
    <m/>
    <n v="15383.404288557522"/>
  </r>
  <r>
    <x v="59"/>
    <n v="15383.404288557522"/>
    <n v="135.37395773930621"/>
    <n v="15518.778246296828"/>
    <n v="200"/>
    <m/>
    <n v="15718.778246296828"/>
  </r>
  <r>
    <x v="60"/>
    <n v="15718.778246296828"/>
    <n v="138.3252485674121"/>
    <n v="15857.103494864241"/>
    <n v="200"/>
    <m/>
    <n v="16057.103494864241"/>
  </r>
  <r>
    <x v="61"/>
    <n v="16057.103494864241"/>
    <n v="141.30251075480533"/>
    <n v="16198.406005619046"/>
    <n v="200"/>
    <m/>
    <n v="16398.406005619046"/>
  </r>
  <r>
    <x v="62"/>
    <n v="16398.406005619046"/>
    <n v="144.30597284944761"/>
    <n v="16542.711978468495"/>
    <n v="200"/>
    <m/>
    <n v="16742.711978468495"/>
  </r>
  <r>
    <x v="63"/>
    <n v="16742.711978468495"/>
    <n v="147.33586541052276"/>
    <n v="16890.047843879016"/>
    <n v="200"/>
    <m/>
    <n v="17090.047843879016"/>
  </r>
  <r>
    <x v="64"/>
    <n v="17090.047843879016"/>
    <n v="150.39242102613534"/>
    <n v="17240.440264905152"/>
    <n v="200"/>
    <m/>
    <n v="17440.440264905152"/>
  </r>
  <r>
    <x v="65"/>
    <n v="17440.440264905152"/>
    <n v="153.47587433116536"/>
    <n v="17593.916139236317"/>
    <n v="200"/>
    <m/>
    <n v="17793.916139236317"/>
  </r>
  <r>
    <x v="66"/>
    <n v="17793.916139236317"/>
    <n v="156.58646202527959"/>
    <n v="17950.502601261596"/>
    <n v="200"/>
    <m/>
    <n v="18150.502601261596"/>
  </r>
  <r>
    <x v="67"/>
    <n v="18150.502601261596"/>
    <n v="159.72442289110205"/>
    <n v="18310.227024152697"/>
    <n v="200"/>
    <m/>
    <n v="18510.227024152697"/>
  </r>
  <r>
    <x v="68"/>
    <n v="18510.227024152697"/>
    <n v="162.88999781254375"/>
    <n v="18673.117021965241"/>
    <n v="200"/>
    <m/>
    <n v="18873.117021965241"/>
  </r>
  <r>
    <x v="69"/>
    <n v="18873.117021965241"/>
    <n v="166.08342979329413"/>
    <n v="19039.200451758534"/>
    <n v="200"/>
    <m/>
    <n v="19239.200451758534"/>
  </r>
  <r>
    <x v="70"/>
    <n v="19239.200451758534"/>
    <n v="169.30496397547512"/>
    <n v="19408.505415734009"/>
    <n v="200"/>
    <m/>
    <n v="19608.505415734009"/>
  </r>
  <r>
    <x v="71"/>
    <n v="19608.505415734009"/>
    <n v="172.55484765845929"/>
    <n v="19781.060263392468"/>
    <n v="200"/>
    <m/>
    <n v="19981.060263392468"/>
  </r>
  <r>
    <x v="72"/>
    <n v="19981.060263392468"/>
    <n v="175.83333031785372"/>
    <n v="20156.893593710323"/>
    <n v="200"/>
    <m/>
    <n v="20356.893593710323"/>
  </r>
  <r>
    <x v="73"/>
    <n v="20356.893593710323"/>
    <n v="179.14066362465087"/>
    <n v="20536.034257334974"/>
    <n v="200"/>
    <m/>
    <n v="20736.034257334974"/>
  </r>
  <r>
    <x v="74"/>
    <n v="20736.034257334974"/>
    <n v="182.47710146454779"/>
    <n v="20918.511358799522"/>
    <n v="200"/>
    <m/>
    <n v="21118.511358799522"/>
  </r>
  <r>
    <x v="75"/>
    <n v="21118.511358799522"/>
    <n v="185.8428999574358"/>
    <n v="21304.354258756957"/>
    <n v="200"/>
    <m/>
    <n v="21504.354258756957"/>
  </r>
  <r>
    <x v="76"/>
    <n v="21504.354258756957"/>
    <n v="189.23831747706123"/>
    <n v="21693.592576234019"/>
    <n v="200"/>
    <m/>
    <n v="21893.592576234019"/>
  </r>
  <r>
    <x v="77"/>
    <n v="21893.592576234019"/>
    <n v="192.66361467085937"/>
    <n v="22086.256190904878"/>
    <n v="200"/>
    <m/>
    <n v="22286.256190904878"/>
  </r>
  <r>
    <x v="78"/>
    <n v="22286.256190904878"/>
    <n v="196.11905447996293"/>
    <n v="22482.375245384843"/>
    <n v="200"/>
    <m/>
    <n v="22682.375245384843"/>
  </r>
  <r>
    <x v="79"/>
    <n v="22682.375245384843"/>
    <n v="199.60490215938663"/>
    <n v="22881.980147544229"/>
    <n v="200"/>
    <m/>
    <n v="23081.980147544229"/>
  </r>
  <r>
    <x v="80"/>
    <n v="23081.980147544229"/>
    <n v="203.12142529838923"/>
    <n v="23285.101572842617"/>
    <n v="200"/>
    <m/>
    <n v="23485.101572842617"/>
  </r>
  <r>
    <x v="81"/>
    <n v="23485.101572842617"/>
    <n v="206.66889384101503"/>
    <n v="23691.770466683633"/>
    <n v="200"/>
    <m/>
    <n v="23891.770466683633"/>
  </r>
  <r>
    <x v="82"/>
    <n v="23891.770466683633"/>
    <n v="210.24758010681597"/>
    <n v="24102.01804679045"/>
    <n v="200"/>
    <m/>
    <n v="24302.01804679045"/>
  </r>
  <r>
    <x v="83"/>
    <n v="24302.01804679045"/>
    <n v="213.85775881175599"/>
    <n v="24515.875805602205"/>
    <n v="200"/>
    <m/>
    <n v="24715.875805602205"/>
  </r>
  <r>
    <x v="84"/>
    <n v="24715.875805602205"/>
    <n v="217.49970708929942"/>
    <n v="24933.375512691506"/>
    <n v="200"/>
    <m/>
    <n v="25133.375512691506"/>
  </r>
  <r>
    <x v="85"/>
    <n v="25133.375512691506"/>
    <n v="221.17370451168526"/>
    <n v="25354.549217203192"/>
    <n v="200"/>
    <m/>
    <n v="25554.549217203192"/>
  </r>
  <r>
    <x v="86"/>
    <n v="25554.549217203192"/>
    <n v="224.88003311138809"/>
    <n v="25779.429250314581"/>
    <n v="200"/>
    <m/>
    <n v="25979.429250314581"/>
  </r>
  <r>
    <x v="87"/>
    <n v="25979.429250314581"/>
    <n v="228.61897740276834"/>
    <n v="26208.048227717351"/>
    <n v="200"/>
    <m/>
    <n v="26408.048227717351"/>
  </r>
  <r>
    <x v="88"/>
    <n v="26408.048227717351"/>
    <n v="232.39082440391269"/>
    <n v="26640.439052121263"/>
    <n v="200"/>
    <m/>
    <n v="26840.439052121263"/>
  </r>
  <r>
    <x v="89"/>
    <n v="26840.439052121263"/>
    <n v="236.19586365866712"/>
    <n v="27076.63491577993"/>
    <n v="200"/>
    <m/>
    <n v="27276.63491577993"/>
  </r>
  <r>
    <x v="90"/>
    <n v="27276.63491577993"/>
    <n v="240.0343872588634"/>
    <n v="27516.669303038794"/>
    <n v="200"/>
    <m/>
    <n v="27716.669303038794"/>
  </r>
  <r>
    <x v="91"/>
    <n v="27716.669303038794"/>
    <n v="243.9066898667414"/>
    <n v="27960.575992905535"/>
    <n v="200"/>
    <m/>
    <n v="28160.575992905535"/>
  </r>
  <r>
    <x v="92"/>
    <n v="28160.575992905535"/>
    <n v="247.81306873756873"/>
    <n v="28408.389061643102"/>
    <n v="200"/>
    <m/>
    <n v="28608.389061643102"/>
  </r>
  <r>
    <x v="93"/>
    <n v="28608.389061643102"/>
    <n v="251.7538237424593"/>
    <n v="28860.142885385561"/>
    <n v="200"/>
    <m/>
    <n v="29060.142885385561"/>
  </r>
  <r>
    <x v="94"/>
    <n v="29060.142885385561"/>
    <n v="255.72925739139296"/>
    <n v="29315.872142776956"/>
    <n v="200"/>
    <m/>
    <n v="29515.872142776956"/>
  </r>
  <r>
    <x v="95"/>
    <n v="29515.872142776956"/>
    <n v="259.7396748564372"/>
    <n v="29775.611817633395"/>
    <n v="200"/>
    <m/>
    <n v="29975.611817633395"/>
  </r>
  <r>
    <x v="96"/>
    <n v="29975.611817633395"/>
    <n v="263.7853839951739"/>
    <n v="30239.39720162857"/>
    <n v="200"/>
    <m/>
    <n v="30439.39720162857"/>
  </r>
  <r>
    <x v="97"/>
    <n v="30439.39720162857"/>
    <n v="267.86669537433141"/>
    <n v="30707.2638970029"/>
    <n v="200"/>
    <m/>
    <n v="30907.2638970029"/>
  </r>
  <r>
    <x v="98"/>
    <n v="30907.2638970029"/>
    <n v="271.98392229362554"/>
    <n v="31179.247819296525"/>
    <n v="200"/>
    <m/>
    <n v="31379.247819296525"/>
  </r>
  <r>
    <x v="99"/>
    <n v="31379.247819296525"/>
    <n v="276.13738080980943"/>
    <n v="31655.385200106335"/>
    <n v="200"/>
    <m/>
    <n v="31855.385200106335"/>
  </r>
  <r>
    <x v="100"/>
    <n v="31855.385200106335"/>
    <n v="280.32738976093577"/>
    <n v="32135.712589867271"/>
    <n v="200"/>
    <m/>
    <n v="32335.712589867271"/>
  </r>
  <r>
    <x v="101"/>
    <n v="32335.712589867271"/>
    <n v="284.55427079083199"/>
    <n v="32620.266860658103"/>
    <n v="200"/>
    <m/>
    <n v="32820.266860658099"/>
  </r>
  <r>
    <x v="102"/>
    <n v="32820.266860658099"/>
    <n v="288.81834837379131"/>
    <n v="33109.085209031888"/>
    <n v="200"/>
    <m/>
    <n v="33309.085209031888"/>
  </r>
  <r>
    <x v="103"/>
    <n v="33309.085209031888"/>
    <n v="293.11994983948063"/>
    <n v="33602.205158871366"/>
    <n v="200"/>
    <m/>
    <n v="33802.205158871366"/>
  </r>
  <r>
    <x v="104"/>
    <n v="33802.205158871366"/>
    <n v="297.45940539806804"/>
    <n v="34099.664564269435"/>
    <n v="200"/>
    <m/>
    <n v="34299.664564269435"/>
  </r>
  <r>
    <x v="105"/>
    <n v="34299.664564269435"/>
    <n v="301.83704816557105"/>
    <n v="34601.501612435008"/>
    <n v="200"/>
    <m/>
    <n v="34801.501612435008"/>
  </r>
  <r>
    <x v="106"/>
    <n v="34801.501612435008"/>
    <n v="306.25321418942809"/>
    <n v="35107.754826624434"/>
    <n v="200"/>
    <m/>
    <n v="35307.754826624434"/>
  </r>
  <r>
    <x v="107"/>
    <n v="35307.754826624434"/>
    <n v="310.70824247429505"/>
    <n v="35618.463069098732"/>
    <n v="200"/>
    <m/>
    <n v="35818.463069098732"/>
  </r>
  <r>
    <x v="108"/>
    <n v="35818.463069098732"/>
    <n v="315.20247500806886"/>
    <n v="36133.6655441068"/>
    <n v="200"/>
    <m/>
    <n v="36333.6655441068"/>
  </r>
  <r>
    <x v="109"/>
    <n v="36333.6655441068"/>
    <n v="319.73625678813988"/>
    <n v="36653.401800894942"/>
    <n v="200"/>
    <m/>
    <n v="36853.401800894942"/>
  </r>
  <r>
    <x v="110"/>
    <n v="36853.401800894942"/>
    <n v="324.30993584787552"/>
    <n v="37177.711736742815"/>
    <n v="200"/>
    <m/>
    <n v="37377.711736742815"/>
  </r>
  <r>
    <x v="111"/>
    <n v="37377.711736742815"/>
    <n v="328.9238632833368"/>
    <n v="37706.635600026151"/>
    <n v="200"/>
    <m/>
    <n v="37906.635600026151"/>
  </r>
  <r>
    <x v="112"/>
    <n v="37906.635600026151"/>
    <n v="333.57839328023016"/>
    <n v="38240.213993306381"/>
    <n v="200"/>
    <m/>
    <n v="38440.213993306381"/>
  </r>
  <r>
    <x v="113"/>
    <n v="38440.213993306381"/>
    <n v="338.27388314109618"/>
    <n v="38778.487876447478"/>
    <n v="200"/>
    <m/>
    <n v="38978.487876447478"/>
  </r>
  <r>
    <x v="114"/>
    <n v="38978.487876447478"/>
    <n v="343.01069331273783"/>
    <n v="39321.498569760217"/>
    <n v="200"/>
    <m/>
    <n v="39521.498569760217"/>
  </r>
  <r>
    <x v="115"/>
    <n v="39521.498569760217"/>
    <n v="347.78918741388992"/>
    <n v="39869.287757174105"/>
    <n v="200"/>
    <m/>
    <n v="40069.287757174105"/>
  </r>
  <r>
    <x v="116"/>
    <n v="40069.287757174105"/>
    <n v="352.60973226313212"/>
    <n v="40421.897489437237"/>
    <n v="200"/>
    <m/>
    <n v="40621.897489437237"/>
  </r>
  <r>
    <x v="117"/>
    <n v="40621.897489437237"/>
    <n v="357.47269790704769"/>
    <n v="40979.370187344284"/>
    <n v="200"/>
    <m/>
    <n v="41179.370187344284"/>
  </r>
  <r>
    <x v="118"/>
    <n v="41179.370187344284"/>
    <n v="362.37845764862971"/>
    <n v="41541.748644992913"/>
    <n v="200"/>
    <m/>
    <n v="41741.748644992913"/>
  </r>
  <r>
    <x v="119"/>
    <n v="41741.748644992913"/>
    <n v="367.32738807593768"/>
    <n v="42109.07603306885"/>
    <n v="200"/>
    <m/>
    <n v="42309.07603306885"/>
  </r>
  <r>
    <x v="120"/>
    <n v="42309.07603306885"/>
    <n v="372.3198690910059"/>
    <n v="42681.395902159857"/>
    <n v="200"/>
    <m/>
    <n v="42881.395902159857"/>
  </r>
  <r>
    <x v="121"/>
    <n v="42881.395902159857"/>
    <n v="377.35628393900674"/>
    <n v="43258.752186098864"/>
    <n v="200"/>
    <m/>
    <n v="43458.752186098864"/>
  </r>
  <r>
    <x v="122"/>
    <n v="43458.752186098864"/>
    <n v="382.43701923767003"/>
    <n v="43841.18920533653"/>
    <n v="200"/>
    <m/>
    <n v="44041.18920533653"/>
  </r>
  <r>
    <x v="123"/>
    <n v="44041.18920533653"/>
    <n v="387.56246500696147"/>
    <n v="44428.751670343489"/>
    <n v="200"/>
    <m/>
    <n v="44628.751670343489"/>
  </r>
  <r>
    <x v="124"/>
    <n v="44628.751670343489"/>
    <n v="392.7330146990227"/>
    <n v="45021.484685042509"/>
    <n v="200"/>
    <m/>
    <n v="45221.484685042509"/>
  </r>
  <r>
    <x v="125"/>
    <n v="45221.484685042509"/>
    <n v="397.94906522837408"/>
    <n v="45619.43375027088"/>
    <n v="200"/>
    <m/>
    <n v="45819.43375027088"/>
  </r>
  <r>
    <x v="126"/>
    <n v="45819.43375027088"/>
    <n v="403.21101700238376"/>
    <n v="46222.644767273261"/>
    <n v="200"/>
    <m/>
    <n v="46422.644767273261"/>
  </r>
  <r>
    <x v="127"/>
    <n v="46422.644767273261"/>
    <n v="408.51927395200471"/>
    <n v="46831.164041225267"/>
    <n v="200"/>
    <m/>
    <n v="47031.164041225267"/>
  </r>
  <r>
    <x v="128"/>
    <n v="47031.164041225267"/>
    <n v="413.8742435627824"/>
    <n v="47445.038284788046"/>
    <n v="200"/>
    <m/>
    <n v="47645.038284788046"/>
  </r>
  <r>
    <x v="129"/>
    <n v="47645.038284788046"/>
    <n v="419.27633690613482"/>
    <n v="48064.314621694182"/>
    <n v="200"/>
    <m/>
    <n v="48264.314621694182"/>
  </r>
  <r>
    <x v="130"/>
    <n v="48264.314621694182"/>
    <n v="424.72596867090886"/>
    <n v="48689.04059036509"/>
    <n v="200"/>
    <m/>
    <n v="48889.04059036509"/>
  </r>
  <r>
    <x v="131"/>
    <n v="48889.04059036509"/>
    <n v="430.22355719521283"/>
    <n v="49319.264147560301"/>
    <n v="200"/>
    <m/>
    <n v="49519.264147560301"/>
  </r>
  <r>
    <x v="132"/>
    <n v="49519.264147560301"/>
    <n v="435.7695244985307"/>
    <n v="49955.033672058831"/>
    <n v="200"/>
    <m/>
    <n v="50155.033672058831"/>
  </r>
  <r>
    <x v="133"/>
    <n v="50155.033672058831"/>
    <n v="441.36429631411772"/>
    <n v="50596.397968372949"/>
    <n v="200"/>
    <m/>
    <n v="50796.397968372949"/>
  </r>
  <r>
    <x v="134"/>
    <n v="50796.397968372949"/>
    <n v="447.00830212168199"/>
    <n v="51243.406270494634"/>
    <n v="200"/>
    <m/>
    <n v="51443.406270494634"/>
  </r>
  <r>
    <x v="135"/>
    <n v="51443.406270494634"/>
    <n v="452.7019751803528"/>
    <n v="51896.108245674986"/>
    <n v="200"/>
    <m/>
    <n v="52096.108245674986"/>
  </r>
  <r>
    <x v="136"/>
    <n v="52096.108245674986"/>
    <n v="458.44575256193991"/>
    <n v="52554.553998236923"/>
    <n v="200"/>
    <m/>
    <n v="52754.553998236923"/>
  </r>
  <r>
    <x v="137"/>
    <n v="52754.553998236923"/>
    <n v="464.24007518448497"/>
    <n v="53218.794073421406"/>
    <n v="200"/>
    <m/>
    <n v="53418.794073421406"/>
  </r>
  <r>
    <x v="138"/>
    <n v="53418.794073421406"/>
    <n v="470.0853878461084"/>
    <n v="53888.879461267512"/>
    <n v="200"/>
    <m/>
    <n v="54088.879461267512"/>
  </r>
  <r>
    <x v="139"/>
    <n v="54088.879461267512"/>
    <n v="475.98213925915411"/>
    <n v="54564.861600526667"/>
    <n v="200"/>
    <m/>
    <n v="54764.861600526667"/>
  </r>
  <r>
    <x v="140"/>
    <n v="54764.861600526667"/>
    <n v="481.9307820846347"/>
    <n v="55246.792382611304"/>
    <n v="200"/>
    <m/>
    <n v="55446.792382611304"/>
  </r>
  <r>
    <x v="141"/>
    <n v="55446.792382611304"/>
    <n v="487.93177296697951"/>
    <n v="55934.724155578282"/>
    <n v="200"/>
    <m/>
    <n v="56134.724155578282"/>
  </r>
  <r>
    <x v="142"/>
    <n v="56134.724155578282"/>
    <n v="493.9855725690889"/>
    <n v="56628.709728147369"/>
    <n v="200"/>
    <m/>
    <n v="56828.709728147369"/>
  </r>
  <r>
    <x v="143"/>
    <n v="56828.709728147369"/>
    <n v="500.09264560769685"/>
    <n v="57328.802373755068"/>
    <n v="200"/>
    <m/>
    <n v="57528.802373755068"/>
  </r>
  <r>
    <x v="144"/>
    <n v="57528.802373755068"/>
    <n v="506.25346088904462"/>
    <n v="58035.05583464411"/>
    <n v="200"/>
    <m/>
    <n v="58235.05583464411"/>
  </r>
  <r>
    <x v="145"/>
    <n v="58235.05583464411"/>
    <n v="512.4684913448682"/>
    <n v="58747.524325988976"/>
    <n v="200"/>
    <m/>
    <n v="58947.524325988976"/>
  </r>
  <r>
    <x v="146"/>
    <n v="58947.524325988976"/>
    <n v="518.73821406870297"/>
    <n v="59466.26254005768"/>
    <n v="200"/>
    <m/>
    <n v="59666.26254005768"/>
  </r>
  <r>
    <x v="147"/>
    <n v="59666.26254005768"/>
    <n v="525.06311035250758"/>
    <n v="60191.325650410188"/>
    <n v="200"/>
    <m/>
    <n v="60391.325650410188"/>
  </r>
  <r>
    <x v="148"/>
    <n v="60391.325650410188"/>
    <n v="531.44366572360968"/>
    <n v="60922.769316133796"/>
    <n v="200"/>
    <m/>
    <n v="61122.769316133796"/>
  </r>
  <r>
    <x v="149"/>
    <n v="61122.769316133796"/>
    <n v="537.88036998197742"/>
    <n v="61660.649686115772"/>
    <n v="200"/>
    <m/>
    <n v="61860.649686115772"/>
  </r>
  <r>
    <x v="150"/>
    <n v="61860.649686115772"/>
    <n v="544.37371723781882"/>
    <n v="62405.023403353589"/>
    <n v="200"/>
    <m/>
    <n v="62605.023403353589"/>
  </r>
  <r>
    <x v="151"/>
    <n v="62605.023403353589"/>
    <n v="550.92420594951159"/>
    <n v="63155.947609303097"/>
    <n v="200"/>
    <m/>
    <n v="63355.947609303097"/>
  </r>
  <r>
    <x v="152"/>
    <n v="63355.947609303097"/>
    <n v="557.53233896186725"/>
    <n v="63913.479948264961"/>
    <n v="200"/>
    <m/>
    <n v="64113.479948264961"/>
  </r>
  <r>
    <x v="153"/>
    <n v="64113.479948264961"/>
    <n v="564.19862354473173"/>
    <n v="64677.678571809694"/>
    <n v="200"/>
    <m/>
    <n v="64877.678571809694"/>
  </r>
  <r>
    <x v="154"/>
    <n v="64877.678571809694"/>
    <n v="570.92357143192532"/>
    <n v="65448.602143241616"/>
    <n v="200"/>
    <m/>
    <n v="65648.602143241616"/>
  </r>
  <r>
    <x v="155"/>
    <n v="65648.602143241616"/>
    <n v="577.70769886052631"/>
    <n v="66226.309842102142"/>
    <n v="200"/>
    <m/>
    <n v="66426.309842102142"/>
  </r>
  <r>
    <x v="156"/>
    <n v="66426.309842102142"/>
    <n v="584.55152661049885"/>
    <n v="67010.861368712634"/>
    <n v="200"/>
    <m/>
    <n v="67210.861368712634"/>
  </r>
  <r>
    <x v="157"/>
    <n v="67210.861368712634"/>
    <n v="591.45558004467125"/>
    <n v="67802.316948757303"/>
    <n v="200"/>
    <m/>
    <n v="68002.316948757303"/>
  </r>
  <r>
    <x v="158"/>
    <n v="68002.316948757303"/>
    <n v="598.42038914906425"/>
    <n v="68600.737337906365"/>
    <n v="200"/>
    <m/>
    <n v="68800.737337906365"/>
  </r>
  <r>
    <x v="159"/>
    <n v="68800.737337906365"/>
    <n v="605.44648857357606"/>
    <n v="69406.183826479944"/>
    <n v="200"/>
    <m/>
    <n v="69606.183826479944"/>
  </r>
  <r>
    <x v="160"/>
    <n v="69606.183826479944"/>
    <n v="612.53441767302354"/>
    <n v="70218.718244152973"/>
    <n v="200"/>
    <m/>
    <n v="70418.718244152973"/>
  </r>
  <r>
    <x v="161"/>
    <n v="70418.718244152973"/>
    <n v="619.68472054854624"/>
    <n v="71038.402964701512"/>
    <n v="200"/>
    <m/>
    <n v="71238.402964701512"/>
  </r>
  <r>
    <x v="162"/>
    <n v="71238.402964701512"/>
    <n v="626.89794608937336"/>
    <n v="71865.300910790887"/>
    <n v="200"/>
    <m/>
    <n v="72065.300910790887"/>
  </r>
  <r>
    <x v="163"/>
    <n v="72065.300910790887"/>
    <n v="634.17464801495987"/>
    <n v="72699.475558805847"/>
    <n v="200"/>
    <m/>
    <n v="72899.475558805847"/>
  </r>
  <r>
    <x v="164"/>
    <n v="72899.475558805847"/>
    <n v="641.51538491749147"/>
    <n v="73540.990943723344"/>
    <n v="200"/>
    <m/>
    <n v="73740.990943723344"/>
  </r>
  <r>
    <x v="165"/>
    <n v="73740.990943723344"/>
    <n v="648.9207203047655"/>
    <n v="74389.911664028114"/>
    <n v="200"/>
    <m/>
    <n v="74589.911664028114"/>
  </r>
  <r>
    <x v="166"/>
    <n v="74589.911664028114"/>
    <n v="656.39122264344746"/>
    <n v="75246.302886671561"/>
    <n v="200"/>
    <m/>
    <n v="75446.302886671561"/>
  </r>
  <r>
    <x v="167"/>
    <n v="75446.302886671561"/>
    <n v="663.9274654027098"/>
    <n v="76110.230352074272"/>
    <n v="200"/>
    <m/>
    <n v="76310.230352074272"/>
  </r>
  <r>
    <x v="168"/>
    <n v="76310.230352074272"/>
    <n v="671.53002709825364"/>
    <n v="76981.760379172527"/>
    <n v="200"/>
    <m/>
    <n v="77181.760379172527"/>
  </r>
  <r>
    <x v="169"/>
    <n v="77181.760379172527"/>
    <n v="679.19949133671832"/>
    <n v="77860.95987050925"/>
    <n v="200"/>
    <m/>
    <n v="78060.95987050925"/>
  </r>
  <r>
    <x v="170"/>
    <n v="78060.95987050925"/>
    <n v="686.9364468604814"/>
    <n v="78747.896317369727"/>
    <n v="200"/>
    <m/>
    <n v="78947.896317369727"/>
  </r>
  <r>
    <x v="171"/>
    <n v="78947.896317369727"/>
    <n v="694.74148759285367"/>
    <n v="79642.637804962578"/>
    <n v="200"/>
    <m/>
    <n v="79842.637804962578"/>
  </r>
  <r>
    <x v="172"/>
    <n v="79842.637804962578"/>
    <n v="702.61521268367073"/>
    <n v="80545.253017646246"/>
    <n v="200"/>
    <m/>
    <n v="80745.253017646246"/>
  </r>
  <r>
    <x v="173"/>
    <n v="80745.253017646246"/>
    <n v="710.55822655528698"/>
    <n v="81455.811244201526"/>
    <n v="200"/>
    <m/>
    <n v="81655.811244201526"/>
  </r>
  <r>
    <x v="174"/>
    <n v="81655.811244201526"/>
    <n v="718.5711389489735"/>
    <n v="82374.3823831505"/>
    <n v="200"/>
    <m/>
    <n v="82574.3823831505"/>
  </r>
  <r>
    <x v="175"/>
    <n v="82574.3823831505"/>
    <n v="726.65456497172443"/>
    <n v="83301.03694812223"/>
    <n v="200"/>
    <m/>
    <n v="83501.03694812223"/>
  </r>
  <r>
    <x v="176"/>
    <n v="83501.03694812223"/>
    <n v="734.80912514347563"/>
    <n v="84235.846073265711"/>
    <n v="200"/>
    <m/>
    <n v="84435.846073265711"/>
  </r>
  <r>
    <x v="177"/>
    <n v="84435.846073265711"/>
    <n v="743.03544544473834"/>
    <n v="85178.881518710448"/>
    <n v="200"/>
    <m/>
    <n v="85378.881518710448"/>
  </r>
  <r>
    <x v="178"/>
    <n v="85378.881518710448"/>
    <n v="751.33415736465201"/>
    <n v="86130.215676075095"/>
    <n v="200"/>
    <m/>
    <n v="86330.215676075095"/>
  </r>
  <r>
    <x v="179"/>
    <n v="86330.215676075095"/>
    <n v="759.7058979494609"/>
    <n v="87089.921574024556"/>
    <n v="200"/>
    <m/>
    <n v="87289.921574024556"/>
  </r>
  <r>
    <x v="180"/>
    <n v="87289.921574024556"/>
    <n v="768.15130985141616"/>
    <n v="88058.072883875968"/>
    <n v="200"/>
    <m/>
    <n v="88258.072883875968"/>
  </r>
  <r>
    <x v="181"/>
    <n v="88258.072883875968"/>
    <n v="776.67104137810861"/>
    <n v="89034.743925254079"/>
    <n v="200"/>
    <m/>
    <n v="89234.743925254079"/>
  </r>
  <r>
    <x v="182"/>
    <n v="89234.743925254079"/>
    <n v="785.26574654223589"/>
    <n v="90020.009671796317"/>
    <n v="200"/>
    <m/>
    <n v="90220.009671796317"/>
  </r>
  <r>
    <x v="183"/>
    <n v="90220.009671796317"/>
    <n v="793.93608511180764"/>
    <n v="91013.945756908128"/>
    <n v="200"/>
    <m/>
    <n v="91213.945756908128"/>
  </r>
  <r>
    <x v="184"/>
    <n v="91213.945756908128"/>
    <n v="802.68272266079157"/>
    <n v="92016.628479568913"/>
    <n v="200"/>
    <m/>
    <n v="92216.628479568913"/>
  </r>
  <r>
    <x v="185"/>
    <n v="92216.628479568913"/>
    <n v="811.50633062020654"/>
    <n v="93028.13481018912"/>
    <n v="200"/>
    <m/>
    <n v="93228.13481018912"/>
  </r>
  <r>
    <x v="186"/>
    <n v="93228.13481018912"/>
    <n v="820.40758632966435"/>
    <n v="94048.54239651878"/>
    <n v="200"/>
    <m/>
    <n v="94248.54239651878"/>
  </r>
  <r>
    <x v="187"/>
    <n v="94248.54239651878"/>
    <n v="829.38717308936532"/>
    <n v="95077.929569608139"/>
    <n v="200"/>
    <m/>
    <n v="95277.929569608139"/>
  </r>
  <r>
    <x v="188"/>
    <n v="95277.929569608139"/>
    <n v="838.44578021255165"/>
    <n v="96116.375349820693"/>
    <n v="200"/>
    <m/>
    <n v="96316.375349820693"/>
  </r>
  <r>
    <x v="189"/>
    <n v="96316.375349820693"/>
    <n v="847.58410307842212"/>
    <n v="97163.959452899115"/>
    <n v="200"/>
    <m/>
    <n v="97363.959452899115"/>
  </r>
  <r>
    <x v="190"/>
    <n v="97363.959452899115"/>
    <n v="856.8028431855123"/>
    <n v="98220.76229608462"/>
    <n v="200"/>
    <m/>
    <n v="98420.76229608462"/>
  </r>
  <r>
    <x v="191"/>
    <n v="98420.76229608462"/>
    <n v="866.10270820554467"/>
    <n v="99286.865004290172"/>
    <n v="200"/>
    <m/>
    <n v="99486.865004290172"/>
  </r>
  <r>
    <x v="192"/>
    <n v="99486.865004290172"/>
    <n v="875.4844120377536"/>
    <n v="100362.34941632792"/>
    <n v="200"/>
    <m/>
    <n v="100562.34941632792"/>
  </r>
  <r>
    <x v="193"/>
    <n v="100562.34941632792"/>
    <n v="884.94867486368582"/>
    <n v="101447.29809119161"/>
    <n v="200"/>
    <m/>
    <n v="101647.29809119161"/>
  </r>
  <r>
    <x v="194"/>
    <n v="101647.29809119161"/>
    <n v="894.49622320248625"/>
    <n v="102541.79431439409"/>
    <n v="200"/>
    <m/>
    <n v="102741.79431439409"/>
  </r>
  <r>
    <x v="195"/>
    <n v="102741.79431439409"/>
    <n v="904.12778996666805"/>
    <n v="103645.92210436077"/>
    <n v="200"/>
    <m/>
    <n v="103845.92210436077"/>
  </r>
  <r>
    <x v="196"/>
    <n v="103845.92210436077"/>
    <n v="913.84411451837479"/>
    <n v="104759.76621887914"/>
    <n v="200"/>
    <m/>
    <n v="104959.76621887914"/>
  </r>
  <r>
    <x v="197"/>
    <n v="104959.76621887914"/>
    <n v="923.64594272613647"/>
    <n v="105883.41216160529"/>
    <n v="200"/>
    <m/>
    <n v="106083.41216160529"/>
  </r>
  <r>
    <x v="198"/>
    <n v="106083.41216160529"/>
    <n v="933.53402702212657"/>
    <n v="107016.94618862741"/>
    <n v="200"/>
    <m/>
    <n v="107216.94618862741"/>
  </r>
  <r>
    <x v="199"/>
    <n v="107216.94618862741"/>
    <n v="943.50912645992128"/>
    <n v="108160.45531508733"/>
    <n v="200"/>
    <m/>
    <n v="108360.45531508733"/>
  </r>
  <r>
    <x v="200"/>
    <n v="108360.45531508733"/>
    <n v="953.57200677276853"/>
    <n v="109314.02732186009"/>
    <n v="200"/>
    <m/>
    <n v="109514.02732186009"/>
  </r>
  <r>
    <x v="201"/>
    <n v="109514.02732186009"/>
    <n v="963.72344043236888"/>
    <n v="110477.75076229246"/>
    <n v="200"/>
    <m/>
    <n v="110677.75076229246"/>
  </r>
  <r>
    <x v="202"/>
    <n v="110677.75076229246"/>
    <n v="973.96420670817372"/>
    <n v="111651.71496900063"/>
    <n v="200"/>
    <m/>
    <n v="111851.71496900063"/>
  </r>
  <r>
    <x v="203"/>
    <n v="111851.71496900063"/>
    <n v="984.29509172720566"/>
    <n v="112836.01006072784"/>
    <n v="200"/>
    <m/>
    <n v="113036.01006072784"/>
  </r>
  <r>
    <x v="204"/>
    <n v="113036.01006072784"/>
    <n v="994.71688853440503"/>
    <n v="114030.72694926224"/>
    <n v="200"/>
    <m/>
    <n v="114230.72694926224"/>
  </r>
  <r>
    <x v="205"/>
    <n v="114230.72694926224"/>
    <n v="1005.2303971535079"/>
    <n v="115235.95734641576"/>
    <n v="200"/>
    <m/>
    <n v="115435.95734641576"/>
  </r>
  <r>
    <x v="206"/>
    <n v="115435.95734641576"/>
    <n v="1015.8364246484588"/>
    <n v="116451.79377106421"/>
    <n v="200"/>
    <m/>
    <n v="116651.79377106421"/>
  </r>
  <r>
    <x v="207"/>
    <n v="116651.79377106421"/>
    <n v="1026.5357851853651"/>
    <n v="117678.32955624958"/>
    <n v="200"/>
    <m/>
    <n v="117878.32955624958"/>
  </r>
  <r>
    <x v="208"/>
    <n v="117878.32955624958"/>
    <n v="1037.3293000949964"/>
    <n v="118915.65885634457"/>
    <n v="200"/>
    <m/>
    <n v="119115.65885634457"/>
  </r>
  <r>
    <x v="209"/>
    <n v="119115.65885634457"/>
    <n v="1048.2177979358323"/>
    <n v="120163.87665428041"/>
    <n v="200"/>
    <m/>
    <n v="120363.87665428041"/>
  </r>
  <r>
    <x v="210"/>
    <n v="120363.87665428041"/>
    <n v="1059.2021145576678"/>
    <n v="121423.07876883808"/>
    <n v="200"/>
    <m/>
    <n v="121623.07876883808"/>
  </r>
  <r>
    <x v="211"/>
    <n v="121623.07876883808"/>
    <n v="1070.2830931657752"/>
    <n v="122693.36186200386"/>
    <n v="200"/>
    <m/>
    <n v="122893.36186200386"/>
  </r>
  <r>
    <x v="212"/>
    <n v="122893.36186200386"/>
    <n v="1081.4615843856341"/>
    <n v="123974.82344638949"/>
    <n v="200"/>
    <m/>
    <n v="124174.82344638949"/>
  </r>
  <r>
    <x v="213"/>
    <n v="124174.82344638949"/>
    <n v="1092.7384463282276"/>
    <n v="125267.56189271771"/>
    <n v="200"/>
    <m/>
    <n v="125467.56189271771"/>
  </r>
  <r>
    <x v="214"/>
    <n v="125467.56189271771"/>
    <n v="1104.114544655916"/>
    <n v="126571.67643737362"/>
    <n v="200"/>
    <m/>
    <n v="126771.67643737362"/>
  </r>
  <r>
    <x v="215"/>
    <n v="126771.67643737362"/>
    <n v="1115.5907526488879"/>
    <n v="127887.26719002251"/>
    <n v="200"/>
    <m/>
    <n v="128087.26719002251"/>
  </r>
  <r>
    <x v="216"/>
    <n v="128087.26719002251"/>
    <n v="1127.1679512721983"/>
    <n v="129214.43514129471"/>
    <n v="200"/>
    <m/>
    <n v="129414.43514129471"/>
  </r>
  <r>
    <x v="217"/>
    <n v="129414.43514129471"/>
    <n v="1138.8470292433935"/>
    <n v="130553.28217053811"/>
    <n v="200"/>
    <m/>
    <n v="130753.28217053811"/>
  </r>
  <r>
    <x v="218"/>
    <n v="130753.28217053811"/>
    <n v="1150.6288831007355"/>
    <n v="131903.91105363885"/>
    <n v="200"/>
    <m/>
    <n v="132103.91105363885"/>
  </r>
  <r>
    <x v="219"/>
    <n v="132103.91105363885"/>
    <n v="1162.514417272022"/>
    <n v="133266.42547091088"/>
    <n v="200"/>
    <m/>
    <n v="133466.42547091088"/>
  </r>
  <r>
    <x v="220"/>
    <n v="133466.42547091088"/>
    <n v="1174.5045441440159"/>
    <n v="134640.93001505488"/>
    <n v="200"/>
    <m/>
    <n v="134840.93001505488"/>
  </r>
  <r>
    <x v="221"/>
    <n v="134840.93001505488"/>
    <n v="1186.600184132483"/>
    <n v="136027.53019918737"/>
    <n v="200"/>
    <m/>
    <n v="136227.53019918737"/>
  </r>
  <r>
    <x v="222"/>
    <n v="136227.53019918737"/>
    <n v="1198.8022657528488"/>
    <n v="137426.33246494021"/>
    <n v="200"/>
    <m/>
    <n v="137626.33246494021"/>
  </r>
  <r>
    <x v="223"/>
    <n v="137626.33246494021"/>
    <n v="1211.1117256914738"/>
    <n v="138837.44419063168"/>
    <n v="200"/>
    <m/>
    <n v="139037.44419063168"/>
  </r>
  <r>
    <x v="224"/>
    <n v="139037.44419063168"/>
    <n v="1223.5295088775588"/>
    <n v="140260.97369950922"/>
    <n v="200"/>
    <m/>
    <n v="140460.97369950922"/>
  </r>
  <r>
    <x v="225"/>
    <n v="140460.97369950922"/>
    <n v="1236.0565685556812"/>
    <n v="141697.0302680649"/>
    <n v="200"/>
    <m/>
    <n v="141897.0302680649"/>
  </r>
  <r>
    <x v="226"/>
    <n v="141897.0302680649"/>
    <n v="1248.6938663589713"/>
    <n v="143145.72413442389"/>
    <n v="200"/>
    <m/>
    <n v="143345.72413442389"/>
  </r>
  <r>
    <x v="227"/>
    <n v="143345.72413442389"/>
    <n v="1261.4423723829302"/>
    <n v="144607.16650680683"/>
    <n v="200"/>
    <m/>
    <n v="144807.16650680683"/>
  </r>
  <r>
    <x v="228"/>
    <n v="144807.16650680683"/>
    <n v="1274.3030652599002"/>
    <n v="146081.46957206674"/>
    <n v="200"/>
    <m/>
    <n v="146281.46957206674"/>
  </r>
  <r>
    <x v="229"/>
    <n v="146281.46957206674"/>
    <n v="1287.2769322341874"/>
    <n v="147568.74650430091"/>
    <n v="200"/>
    <m/>
    <n v="147768.74650430091"/>
  </r>
  <r>
    <x v="230"/>
    <n v="147768.74650430091"/>
    <n v="1300.3649692378481"/>
    <n v="149069.11147353877"/>
    <n v="200"/>
    <m/>
    <n v="149269.11147353877"/>
  </r>
  <r>
    <x v="231"/>
    <n v="149269.11147353877"/>
    <n v="1313.5681809671412"/>
    <n v="150582.67965450592"/>
    <n v="200"/>
    <m/>
    <n v="150782.67965450592"/>
  </r>
  <r>
    <x v="232"/>
    <n v="150782.67965450592"/>
    <n v="1326.8875809596523"/>
    <n v="152109.56723546557"/>
    <n v="200"/>
    <m/>
    <n v="152309.56723546557"/>
  </r>
  <r>
    <x v="233"/>
    <n v="152309.56723546557"/>
    <n v="1340.3241916720972"/>
    <n v="153649.89142713766"/>
    <n v="200"/>
    <m/>
    <n v="153849.89142713766"/>
  </r>
  <r>
    <x v="234"/>
    <n v="153849.89142713766"/>
    <n v="1353.8790445588115"/>
    <n v="155203.77047169648"/>
    <n v="200"/>
    <m/>
    <n v="155403.77047169648"/>
  </r>
  <r>
    <x v="235"/>
    <n v="155403.77047169648"/>
    <n v="1367.5531801509292"/>
    <n v="156771.3236518474"/>
    <n v="200"/>
    <m/>
    <n v="156971.3236518474"/>
  </r>
  <r>
    <x v="236"/>
    <n v="156971.3236518474"/>
    <n v="1381.3476481362572"/>
    <n v="158352.67129998366"/>
    <n v="200"/>
    <m/>
    <n v="158552.67129998366"/>
  </r>
  <r>
    <x v="237"/>
    <n v="158552.67129998366"/>
    <n v="1395.2635074398563"/>
    <n v="159947.9348074235"/>
    <n v="200"/>
    <m/>
    <n v="160147.9348074235"/>
  </r>
  <r>
    <x v="238"/>
    <n v="160147.9348074235"/>
    <n v="1409.3018263053268"/>
    <n v="161557.23663372884"/>
    <n v="200"/>
    <m/>
    <n v="161757.23663372884"/>
  </r>
  <r>
    <x v="239"/>
    <n v="161757.23663372884"/>
    <n v="1423.4636823768139"/>
    <n v="163180.70031610565"/>
    <n v="200"/>
    <m/>
    <n v="163380.70031610565"/>
  </r>
  <r>
    <x v="240"/>
    <n v="163380.70031610565"/>
    <n v="1437.7501627817298"/>
    <n v="164818.45047888739"/>
    <n v="200"/>
    <m/>
    <n v="165018.45047888739"/>
  </r>
  <r>
    <x v="241"/>
    <n v="165018.45047888739"/>
    <n v="1452.1623642142092"/>
    <n v="166470.61284310161"/>
    <n v="200"/>
    <m/>
    <n v="166670.61284310161"/>
  </r>
  <r>
    <x v="242"/>
    <n v="166670.61284310161"/>
    <n v="1466.7013930192943"/>
    <n v="168137.3142361209"/>
    <n v="200"/>
    <m/>
    <n v="168337.3142361209"/>
  </r>
  <r>
    <x v="243"/>
    <n v="168337.3142361209"/>
    <n v="1481.3683652778641"/>
    <n v="169818.68260139876"/>
    <n v="200"/>
    <m/>
    <n v="170018.68260139876"/>
  </r>
  <r>
    <x v="244"/>
    <n v="170018.68260139876"/>
    <n v="1496.1644068923092"/>
    <n v="171514.84700829108"/>
    <n v="200"/>
    <m/>
    <n v="171714.84700829108"/>
  </r>
  <r>
    <x v="245"/>
    <n v="171714.84700829108"/>
    <n v="1511.0906536729615"/>
    <n v="173225.93766196404"/>
    <n v="200"/>
    <m/>
    <n v="173425.93766196404"/>
  </r>
  <r>
    <x v="246"/>
    <n v="173425.93766196404"/>
    <n v="1526.1482514252837"/>
    <n v="174952.08591338931"/>
    <n v="200"/>
    <m/>
    <n v="175152.08591338931"/>
  </r>
  <r>
    <x v="247"/>
    <n v="175152.08591338931"/>
    <n v="1541.3383560378261"/>
    <n v="176693.42426942714"/>
    <n v="200"/>
    <m/>
    <n v="176893.42426942714"/>
  </r>
  <r>
    <x v="248"/>
    <n v="176893.42426942714"/>
    <n v="1556.662133570959"/>
    <n v="178450.0864029981"/>
    <n v="200"/>
    <m/>
    <n v="178650.0864029981"/>
  </r>
  <r>
    <x v="249"/>
    <n v="178650.0864029981"/>
    <n v="1572.1207603463833"/>
    <n v="180222.20716334449"/>
    <n v="200"/>
    <m/>
    <n v="180422.20716334449"/>
  </r>
  <r>
    <x v="250"/>
    <n v="180422.20716334449"/>
    <n v="1587.7154230374315"/>
    <n v="182009.92258638193"/>
    <n v="200"/>
    <m/>
    <n v="182209.92258638193"/>
  </r>
  <r>
    <x v="251"/>
    <n v="182209.92258638193"/>
    <n v="1603.4473187601611"/>
    <n v="183813.36990514208"/>
    <n v="200"/>
    <m/>
    <n v="184013.36990514208"/>
  </r>
  <r>
    <x v="252"/>
    <n v="184013.36990514208"/>
    <n v="1619.3176551652505"/>
    <n v="185632.68756030733"/>
    <n v="200"/>
    <m/>
    <n v="185832.68756030733"/>
  </r>
  <r>
    <x v="253"/>
    <n v="185832.68756030733"/>
    <n v="1635.3276505307047"/>
    <n v="187468.01521083803"/>
    <n v="200"/>
    <m/>
    <n v="187668.01521083803"/>
  </r>
  <r>
    <x v="254"/>
    <n v="187668.01521083803"/>
    <n v="1651.4785338553747"/>
    <n v="189319.49374469341"/>
    <n v="200"/>
    <m/>
    <n v="189519.49374469341"/>
  </r>
  <r>
    <x v="255"/>
    <n v="189519.49374469341"/>
    <n v="1667.7715449533021"/>
    <n v="191187.26528964672"/>
    <n v="200"/>
    <m/>
    <n v="191387.26528964672"/>
  </r>
  <r>
    <x v="256"/>
    <n v="191387.26528964672"/>
    <n v="1684.2079345488912"/>
    <n v="193071.47322419562"/>
    <n v="200"/>
    <m/>
    <n v="193271.47322419562"/>
  </r>
  <r>
    <x v="257"/>
    <n v="193271.47322419562"/>
    <n v="1700.7889643729216"/>
    <n v="194972.26218856854"/>
    <n v="200"/>
    <m/>
    <n v="195172.26218856854"/>
  </r>
  <r>
    <x v="258"/>
    <n v="195172.26218856854"/>
    <n v="1717.5159072594033"/>
    <n v="196889.77809582793"/>
    <n v="200"/>
    <m/>
    <n v="197089.77809582793"/>
  </r>
  <r>
    <x v="259"/>
    <n v="197089.77809582793"/>
    <n v="1734.3900472432858"/>
    <n v="198824.16814307121"/>
    <n v="200"/>
    <m/>
    <n v="199024.16814307121"/>
  </r>
  <r>
    <x v="260"/>
    <n v="199024.16814307121"/>
    <n v="1751.4126796590267"/>
    <n v="200775.58082273023"/>
    <n v="200"/>
    <m/>
    <n v="200975.58082273023"/>
  </r>
  <r>
    <x v="261"/>
    <n v="200975.58082273023"/>
    <n v="1768.5851112400262"/>
    <n v="202744.16593397025"/>
    <n v="200"/>
    <m/>
    <n v="202944.16593397025"/>
  </r>
  <r>
    <x v="262"/>
    <n v="202944.16593397025"/>
    <n v="1785.9086602189382"/>
    <n v="204730.07459418918"/>
    <n v="200"/>
    <m/>
    <n v="204930.07459418918"/>
  </r>
  <r>
    <x v="263"/>
    <n v="204930.07459418918"/>
    <n v="1803.3846564288649"/>
    <n v="206733.45925061803"/>
    <n v="200"/>
    <m/>
    <n v="206933.45925061803"/>
  </r>
  <r>
    <x v="264"/>
    <n v="206933.45925061803"/>
    <n v="1821.0144414054389"/>
    <n v="208754.47369202349"/>
    <n v="200"/>
    <m/>
    <n v="208954.47369202349"/>
  </r>
  <r>
    <x v="265"/>
    <n v="208954.47369202349"/>
    <n v="1838.7993684898067"/>
    <n v="210793.27306051328"/>
    <n v="200"/>
    <m/>
    <n v="210993.27306051328"/>
  </r>
  <r>
    <x v="266"/>
    <n v="210993.27306051328"/>
    <n v="1856.740802932517"/>
    <n v="212850.01386344581"/>
    <n v="200"/>
    <m/>
    <n v="213050.01386344581"/>
  </r>
  <r>
    <x v="267"/>
    <n v="213050.01386344581"/>
    <n v="1874.8401219983232"/>
    <n v="214924.85398544415"/>
    <n v="200"/>
    <m/>
    <n v="215124.85398544415"/>
  </r>
  <r>
    <x v="268"/>
    <n v="215124.85398544415"/>
    <n v="1893.0987150719086"/>
    <n v="217017.95270051606"/>
    <n v="200"/>
    <m/>
    <n v="217217.95270051606"/>
  </r>
  <r>
    <x v="269"/>
    <n v="217217.95270051606"/>
    <n v="1911.5179837645414"/>
    <n v="219129.47068428062"/>
    <n v="200"/>
    <m/>
    <n v="219329.47068428062"/>
  </r>
  <r>
    <x v="270"/>
    <n v="219329.47068428062"/>
    <n v="1930.0993420216696"/>
    <n v="221259.5700263023"/>
    <n v="200"/>
    <m/>
    <n v="221459.5700263023"/>
  </r>
  <r>
    <x v="271"/>
    <n v="221459.5700263023"/>
    <n v="1948.8442162314605"/>
    <n v="223408.41424253376"/>
    <n v="200"/>
    <m/>
    <n v="223608.41424253376"/>
  </r>
  <r>
    <x v="272"/>
    <n v="223608.41424253376"/>
    <n v="1967.7540453342972"/>
    <n v="225576.16828786806"/>
    <n v="200"/>
    <m/>
    <n v="225776.16828786806"/>
  </r>
  <r>
    <x v="273"/>
    <n v="225776.16828786806"/>
    <n v="1986.830280933239"/>
    <n v="227762.9985688013"/>
    <n v="200"/>
    <m/>
    <n v="227962.9985688013"/>
  </r>
  <r>
    <x v="274"/>
    <n v="227962.9985688013"/>
    <n v="2006.0743874054515"/>
    <n v="229969.07295620674"/>
    <n v="200"/>
    <m/>
    <n v="230169.07295620674"/>
  </r>
  <r>
    <x v="275"/>
    <n v="230169.07295620674"/>
    <n v="2025.4878420146194"/>
    <n v="232194.56079822136"/>
    <n v="200"/>
    <m/>
    <n v="232394.56079822136"/>
  </r>
  <r>
    <x v="276"/>
    <n v="232394.56079822136"/>
    <n v="2045.072135024348"/>
    <n v="234439.63293324571"/>
    <n v="200"/>
    <m/>
    <n v="234639.63293324571"/>
  </r>
  <r>
    <x v="277"/>
    <n v="234639.63293324571"/>
    <n v="2064.8287698125623"/>
    <n v="236704.46170305827"/>
    <n v="200"/>
    <m/>
    <n v="236904.46170305827"/>
  </r>
  <r>
    <x v="278"/>
    <n v="236904.46170305827"/>
    <n v="2084.7592629869127"/>
    <n v="238989.22096604519"/>
    <n v="200"/>
    <m/>
    <n v="239189.22096604519"/>
  </r>
  <r>
    <x v="279"/>
    <n v="239189.22096604519"/>
    <n v="2104.8651445011978"/>
    <n v="241294.0861105464"/>
    <n v="200"/>
    <m/>
    <n v="241494.0861105464"/>
  </r>
  <r>
    <x v="280"/>
    <n v="241494.0861105464"/>
    <n v="2125.1479577728082"/>
    <n v="243619.2340683192"/>
    <n v="200"/>
    <m/>
    <n v="243819.2340683192"/>
  </r>
  <r>
    <x v="281"/>
    <n v="243819.2340683192"/>
    <n v="2145.6092598012092"/>
    <n v="245964.84332812042"/>
    <n v="200"/>
    <m/>
    <n v="246164.84332812042"/>
  </r>
  <r>
    <x v="282"/>
    <n v="246164.84332812042"/>
    <n v="2166.25062128746"/>
    <n v="248331.09394940789"/>
    <n v="200"/>
    <m/>
    <n v="248531.09394940789"/>
  </r>
  <r>
    <x v="283"/>
    <n v="248531.09394940789"/>
    <n v="2187.0736267547895"/>
    <n v="250718.16757616267"/>
    <n v="200"/>
    <m/>
    <n v="250918.16757616267"/>
  </r>
  <r>
    <x v="284"/>
    <n v="250918.16757616267"/>
    <n v="2208.0798746702317"/>
    <n v="253126.24745083289"/>
    <n v="200"/>
    <m/>
    <n v="253326.24745083289"/>
  </r>
  <r>
    <x v="285"/>
    <n v="253326.24745083289"/>
    <n v="2229.2709775673297"/>
    <n v="255555.51842840022"/>
    <n v="200"/>
    <m/>
    <n v="255755.51842840022"/>
  </r>
  <r>
    <x v="286"/>
    <n v="255755.51842840022"/>
    <n v="2250.6485621699221"/>
    <n v="258006.16699057014"/>
    <n v="200"/>
    <m/>
    <n v="258206.16699057014"/>
  </r>
  <r>
    <x v="287"/>
    <n v="258206.16699057014"/>
    <n v="2272.2142695170173"/>
    <n v="260478.38126008716"/>
    <n v="200"/>
    <m/>
    <n v="260678.38126008716"/>
  </r>
  <r>
    <x v="288"/>
    <n v="260678.38126008716"/>
    <n v="2293.9697550887672"/>
    <n v="262972.35101517593"/>
    <n v="200"/>
    <m/>
    <n v="263172.35101517593"/>
  </r>
  <r>
    <x v="289"/>
    <n v="263172.35101517593"/>
    <n v="2315.9166889335484"/>
    <n v="265488.26770410949"/>
    <n v="200"/>
    <m/>
    <n v="265688.26770410949"/>
  </r>
  <r>
    <x v="290"/>
    <n v="265688.26770410949"/>
    <n v="2338.0567557961635"/>
    <n v="268026.32445990568"/>
    <n v="200"/>
    <m/>
    <n v="268226.32445990568"/>
  </r>
  <r>
    <x v="291"/>
    <n v="268226.32445990568"/>
    <n v="2360.3916552471701"/>
    <n v="270586.71611515287"/>
    <n v="200"/>
    <m/>
    <n v="270786.71611515287"/>
  </r>
  <r>
    <x v="292"/>
    <n v="270786.71611515287"/>
    <n v="2382.9231018133455"/>
    <n v="273169.63921696623"/>
    <n v="200"/>
    <m/>
    <n v="273369.63921696623"/>
  </r>
  <r>
    <x v="293"/>
    <n v="273369.63921696623"/>
    <n v="2405.6528251093027"/>
    <n v="275775.29204207554"/>
    <n v="200"/>
    <m/>
    <n v="275975.29204207554"/>
  </r>
  <r>
    <x v="294"/>
    <n v="275975.29204207554"/>
    <n v="2428.582569970265"/>
    <n v="278403.87461204582"/>
    <n v="200"/>
    <m/>
    <n v="278603.87461204582"/>
  </r>
  <r>
    <x v="295"/>
    <n v="278603.87461204582"/>
    <n v="2451.7140965860035"/>
    <n v="281055.58870863181"/>
    <n v="200"/>
    <m/>
    <n v="281255.58870863181"/>
  </r>
  <r>
    <x v="296"/>
    <n v="281255.58870863181"/>
    <n v="2475.0491806359601"/>
    <n v="283730.63788926776"/>
    <n v="200"/>
    <m/>
    <n v="283930.63788926776"/>
  </r>
  <r>
    <x v="297"/>
    <n v="283930.63788926776"/>
    <n v="2498.5896134255563"/>
    <n v="286429.22750269331"/>
    <n v="200"/>
    <m/>
    <n v="286629.22750269331"/>
  </r>
  <r>
    <x v="298"/>
    <n v="286629.22750269331"/>
    <n v="2522.3372020237011"/>
    <n v="289151.56470471702"/>
    <n v="200"/>
    <m/>
    <n v="289351.56470471702"/>
  </r>
  <r>
    <x v="299"/>
    <n v="289351.56470471702"/>
    <n v="2546.29376940151"/>
    <n v="291897.85847411852"/>
    <n v="200"/>
    <m/>
    <n v="292097.85847411852"/>
  </r>
  <r>
    <x v="300"/>
    <n v="292097.85847411852"/>
    <n v="2570.4611545722432"/>
    <n v="294668.31962869078"/>
    <n v="200"/>
    <m/>
    <n v="294868.31962869078"/>
  </r>
  <r>
    <x v="301"/>
    <n v="294868.31962869078"/>
    <n v="2594.8412127324791"/>
    <n v="297463.16084142326"/>
    <n v="200"/>
    <m/>
    <n v="297663.16084142326"/>
  </r>
  <r>
    <x v="302"/>
    <n v="297663.16084142326"/>
    <n v="2619.4358154045249"/>
    <n v="300282.59665682778"/>
    <n v="200"/>
    <m/>
    <n v="300482.59665682778"/>
  </r>
  <r>
    <x v="303"/>
    <n v="300482.59665682778"/>
    <n v="2644.2468505800848"/>
    <n v="303126.84350740787"/>
    <n v="200"/>
    <m/>
    <n v="303326.84350740787"/>
  </r>
  <r>
    <x v="304"/>
    <n v="303326.84350740787"/>
    <n v="2669.2762228651895"/>
    <n v="305996.11973027309"/>
    <n v="200"/>
    <m/>
    <n v="306196.11973027309"/>
  </r>
  <r>
    <x v="305"/>
    <n v="306196.11973027309"/>
    <n v="2694.5258536264032"/>
    <n v="308890.64558389952"/>
    <n v="200"/>
    <m/>
    <n v="309090.64558389952"/>
  </r>
  <r>
    <x v="306"/>
    <n v="309090.64558389952"/>
    <n v="2719.9976811383158"/>
    <n v="311810.64326503786"/>
    <n v="200"/>
    <m/>
    <n v="312010.64326503786"/>
  </r>
  <r>
    <x v="307"/>
    <n v="312010.64326503786"/>
    <n v="2745.6936607323332"/>
    <n v="314756.33692577021"/>
    <n v="200"/>
    <m/>
    <n v="314956.33692577021"/>
  </r>
  <r>
    <x v="308"/>
    <n v="314956.33692577021"/>
    <n v="2771.6157649467782"/>
    <n v="317727.95269071701"/>
    <n v="200"/>
    <m/>
    <n v="317927.95269071701"/>
  </r>
  <r>
    <x v="309"/>
    <n v="317927.95269071701"/>
    <n v="2797.76598367831"/>
    <n v="320725.71867439529"/>
    <n v="200"/>
    <m/>
    <n v="320925.71867439529"/>
  </r>
  <r>
    <x v="310"/>
    <n v="320925.71867439529"/>
    <n v="2824.1463243346789"/>
    <n v="323749.86499872996"/>
    <n v="200"/>
    <m/>
    <n v="323949.86499872996"/>
  </r>
  <r>
    <x v="311"/>
    <n v="323949.86499872996"/>
    <n v="2850.7588119888237"/>
    <n v="326800.62381071877"/>
    <n v="200"/>
    <m/>
    <n v="327000.62381071877"/>
  </r>
  <r>
    <x v="312"/>
    <n v="327000.62381071877"/>
    <n v="2877.6054895343254"/>
    <n v="329878.22930025309"/>
    <n v="200"/>
    <m/>
    <n v="330078.22930025309"/>
  </r>
  <r>
    <x v="313"/>
    <n v="330078.22930025309"/>
    <n v="2904.6884178422274"/>
    <n v="332982.9177180953"/>
    <n v="200"/>
    <m/>
    <n v="333182.9177180953"/>
  </r>
  <r>
    <x v="314"/>
    <n v="333182.9177180953"/>
    <n v="2932.0096759192388"/>
    <n v="336114.92739401455"/>
    <n v="200"/>
    <m/>
    <n v="336314.92739401455"/>
  </r>
  <r>
    <x v="315"/>
    <n v="336314.92739401455"/>
    <n v="2959.5713610673283"/>
    <n v="339274.49875508191"/>
    <n v="200"/>
    <m/>
    <n v="339474.49875508191"/>
  </r>
  <r>
    <x v="316"/>
    <n v="339474.49875508191"/>
    <n v="2987.375589044721"/>
    <n v="342461.87434412661"/>
    <n v="200"/>
    <m/>
    <n v="342661.87434412661"/>
  </r>
  <r>
    <x v="317"/>
    <n v="342661.87434412661"/>
    <n v="3015.4244942283144"/>
    <n v="345677.29883835494"/>
    <n v="200"/>
    <m/>
    <n v="345877.29883835494"/>
  </r>
  <r>
    <x v="318"/>
    <n v="345877.29883835494"/>
    <n v="3043.7202297775239"/>
    <n v="348921.01906813245"/>
    <n v="200"/>
    <m/>
    <n v="349121.01906813245"/>
  </r>
  <r>
    <x v="319"/>
    <n v="349121.01906813245"/>
    <n v="3072.2649677995655"/>
    <n v="352193.28403593204"/>
    <n v="200"/>
    <m/>
    <n v="352393.28403593204"/>
  </r>
  <r>
    <x v="320"/>
    <n v="352393.28403593204"/>
    <n v="3101.060899516202"/>
    <n v="355494.34493544826"/>
    <n v="200"/>
    <m/>
    <n v="355694.34493544826"/>
  </r>
  <r>
    <x v="321"/>
    <n v="355694.34493544826"/>
    <n v="3130.1102354319451"/>
    <n v="358824.45517088019"/>
    <n v="200"/>
    <m/>
    <n v="359024.45517088019"/>
  </r>
  <r>
    <x v="322"/>
    <n v="359024.45517088019"/>
    <n v="3159.4152055037457"/>
    <n v="362183.87037638394"/>
    <n v="200"/>
    <m/>
    <n v="362383.87037638394"/>
  </r>
  <r>
    <x v="323"/>
    <n v="362383.87037638394"/>
    <n v="3188.9780593121791"/>
    <n v="365572.8484356961"/>
    <n v="200"/>
    <m/>
    <n v="365772.8484356961"/>
  </r>
  <r>
    <x v="324"/>
    <n v="365772.8484356961"/>
    <n v="3218.8010662341258"/>
    <n v="368991.64950193022"/>
    <n v="200"/>
    <m/>
    <n v="369191.64950193022"/>
  </r>
  <r>
    <x v="325"/>
    <n v="369191.64950193022"/>
    <n v="3248.8865156169863"/>
    <n v="372440.53601754719"/>
    <n v="200"/>
    <m/>
    <n v="372640.53601754719"/>
  </r>
  <r>
    <x v="326"/>
    <n v="372640.53601754719"/>
    <n v="3279.2367169544154"/>
    <n v="375919.77273450157"/>
    <n v="200"/>
    <m/>
    <n v="376119.77273450157"/>
  </r>
  <r>
    <x v="327"/>
    <n v="376119.77273450157"/>
    <n v="3309.854000063614"/>
    <n v="379429.62673456519"/>
    <n v="200"/>
    <m/>
    <n v="379629.62673456519"/>
  </r>
  <r>
    <x v="328"/>
    <n v="379629.62673456519"/>
    <n v="3340.740715264174"/>
    <n v="382970.36744982935"/>
    <n v="200"/>
    <m/>
    <n v="383170.36744982935"/>
  </r>
  <r>
    <x v="329"/>
    <n v="383170.36744982935"/>
    <n v="3371.8992335584985"/>
    <n v="386542.26668338786"/>
    <n v="200"/>
    <m/>
    <n v="386742.26668338786"/>
  </r>
  <r>
    <x v="330"/>
    <n v="386742.26668338786"/>
    <n v="3403.3319468138134"/>
    <n v="390145.59863020165"/>
    <n v="200"/>
    <m/>
    <n v="390345.59863020165"/>
  </r>
  <r>
    <x v="331"/>
    <n v="390345.59863020165"/>
    <n v="3435.041267945775"/>
    <n v="393780.63989814743"/>
    <n v="200"/>
    <m/>
    <n v="393980.63989814743"/>
  </r>
  <r>
    <x v="332"/>
    <n v="393980.63989814743"/>
    <n v="3467.0296311036977"/>
    <n v="397447.66952925111"/>
    <n v="200"/>
    <m/>
    <n v="397647.66952925111"/>
  </r>
  <r>
    <x v="333"/>
    <n v="397647.66952925111"/>
    <n v="3499.29949185741"/>
    <n v="401146.96902110853"/>
    <n v="200"/>
    <m/>
    <n v="401346.96902110853"/>
  </r>
  <r>
    <x v="334"/>
    <n v="401346.96902110853"/>
    <n v="3531.8533273857552"/>
    <n v="404878.82234849426"/>
    <n v="200"/>
    <m/>
    <n v="405078.82234849426"/>
  </r>
  <r>
    <x v="335"/>
    <n v="405078.82234849426"/>
    <n v="3564.6936366667496"/>
    <n v="408643.51598516101"/>
    <n v="200"/>
    <m/>
    <n v="408843.51598516101"/>
  </r>
  <r>
    <x v="336"/>
    <n v="408843.51598516101"/>
    <n v="3597.8229406694172"/>
    <n v="412441.33892583044"/>
    <n v="200"/>
    <m/>
    <n v="412641.33892583044"/>
  </r>
  <r>
    <x v="337"/>
    <n v="412641.33892583044"/>
    <n v="3631.243782547308"/>
    <n v="416272.58270837774"/>
    <n v="200"/>
    <m/>
    <n v="416472.58270837774"/>
  </r>
  <r>
    <x v="338"/>
    <n v="416472.58270837774"/>
    <n v="3664.9587278337244"/>
    <n v="420137.54143621144"/>
    <n v="200"/>
    <m/>
    <n v="420337.54143621144"/>
  </r>
  <r>
    <x v="339"/>
    <n v="420337.54143621144"/>
    <n v="3698.9703646386611"/>
    <n v="424036.5118008501"/>
    <n v="200"/>
    <m/>
    <n v="424236.5118008501"/>
  </r>
  <r>
    <x v="340"/>
    <n v="424236.5118008501"/>
    <n v="3733.281303847481"/>
    <n v="427969.7931046976"/>
    <n v="200"/>
    <m/>
    <n v="428169.7931046976"/>
  </r>
  <r>
    <x v="341"/>
    <n v="428169.7931046976"/>
    <n v="3767.8941793213389"/>
    <n v="431937.68728401896"/>
    <n v="200"/>
    <m/>
    <n v="432137.68728401896"/>
  </r>
  <r>
    <x v="342"/>
    <n v="432137.68728401896"/>
    <n v="3802.8116480993672"/>
    <n v="435940.49893211835"/>
    <n v="200"/>
    <m/>
    <n v="436140.49893211835"/>
  </r>
  <r>
    <x v="343"/>
    <n v="436140.49893211835"/>
    <n v="3838.0363906026419"/>
    <n v="439978.535322721"/>
    <n v="200"/>
    <m/>
    <n v="440178.535322721"/>
  </r>
  <r>
    <x v="344"/>
    <n v="440178.535322721"/>
    <n v="3873.571110839945"/>
    <n v="444052.10643356096"/>
    <n v="200"/>
    <m/>
    <n v="444252.10643356096"/>
  </r>
  <r>
    <x v="345"/>
    <n v="444252.10643356096"/>
    <n v="3909.4185366153365"/>
    <n v="448161.52497017628"/>
    <n v="200"/>
    <m/>
    <n v="448361.52497017628"/>
  </r>
  <r>
    <x v="346"/>
    <n v="448361.52497017628"/>
    <n v="3945.5814197375516"/>
    <n v="452307.10638991382"/>
    <n v="200"/>
    <m/>
    <n v="452507.10638991382"/>
  </r>
  <r>
    <x v="347"/>
    <n v="452507.10638991382"/>
    <n v="3982.0625362312421"/>
    <n v="456489.16892614507"/>
    <n v="200"/>
    <m/>
    <n v="456689.16892614507"/>
  </r>
  <r>
    <x v="348"/>
    <n v="456689.16892614507"/>
    <n v="4018.8646865500768"/>
    <n v="460708.03361269512"/>
    <n v="200"/>
    <m/>
    <n v="460908.03361269512"/>
  </r>
  <r>
    <x v="349"/>
    <n v="460908.03361269512"/>
    <n v="4055.9906957917174"/>
    <n v="464964.02430848684"/>
    <n v="200"/>
    <m/>
    <n v="465164.02430848684"/>
  </r>
  <r>
    <x v="350"/>
    <n v="465164.02430848684"/>
    <n v="4093.4434139146842"/>
    <n v="469257.46772240155"/>
    <n v="200"/>
    <m/>
    <n v="469457.46772240155"/>
  </r>
  <r>
    <x v="351"/>
    <n v="469457.46772240155"/>
    <n v="4131.2257159571336"/>
    <n v="473588.69343835866"/>
    <n v="200"/>
    <m/>
    <n v="473788.69343835866"/>
  </r>
  <r>
    <x v="352"/>
    <n v="473788.69343835866"/>
    <n v="4169.3405022575562"/>
    <n v="477958.03394061624"/>
    <n v="200"/>
    <m/>
    <n v="478158.03394061624"/>
  </r>
  <r>
    <x v="353"/>
    <n v="478158.03394061624"/>
    <n v="4207.7906986774233"/>
    <n v="482365.82463929366"/>
    <n v="200"/>
    <m/>
    <n v="482565.82463929366"/>
  </r>
  <r>
    <x v="354"/>
    <n v="482565.82463929366"/>
    <n v="4246.5792568257848"/>
    <n v="486812.40389611945"/>
    <n v="200"/>
    <m/>
    <n v="487012.40389611945"/>
  </r>
  <r>
    <x v="355"/>
    <n v="487012.40389611945"/>
    <n v="4285.7091542858516"/>
    <n v="491298.11305040529"/>
    <n v="200"/>
    <m/>
    <n v="491498.11305040529"/>
  </r>
  <r>
    <x v="356"/>
    <n v="491498.11305040529"/>
    <n v="4325.1833948435669"/>
    <n v="495823.29644524888"/>
    <n v="200"/>
    <m/>
    <n v="496023.29644524888"/>
  </r>
  <r>
    <x v="357"/>
    <n v="496023.29644524888"/>
    <n v="4365.0050087181908"/>
    <n v="500388.30145396705"/>
    <n v="200"/>
    <m/>
    <n v="500588.30145396705"/>
  </r>
  <r>
    <x v="358"/>
    <n v="500588.30145396705"/>
    <n v="4405.1770527949102"/>
    <n v="504993.47850676195"/>
    <n v="200"/>
    <m/>
    <n v="505193.47850676195"/>
  </r>
  <r>
    <x v="359"/>
    <n v="505193.47850676195"/>
    <n v="4445.7026108595055"/>
    <n v="509639.18111762148"/>
    <n v="200"/>
    <m/>
    <n v="509839.18111762148"/>
  </r>
  <r>
    <x v="360"/>
    <n v="509839.18111762148"/>
    <n v="4486.5847938350689"/>
    <n v="514325.76591145655"/>
    <n v="200"/>
    <m/>
    <n v="514525.76591145655"/>
  </r>
  <r>
    <x v="361"/>
    <n v="514525.76591145655"/>
    <n v="4527.8267400208179"/>
    <n v="519053.59265147737"/>
    <n v="200"/>
    <m/>
    <n v="519253.59265147737"/>
  </r>
  <r>
    <x v="362"/>
    <n v="519253.59265147737"/>
    <n v="4569.431615333001"/>
    <n v="523823.02426681039"/>
    <n v="200"/>
    <m/>
    <n v="524023.02426681039"/>
  </r>
  <r>
    <x v="363"/>
    <n v="524023.02426681039"/>
    <n v="4611.4026135479317"/>
    <n v="528634.42688035837"/>
    <n v="200"/>
    <m/>
    <n v="528834.42688035837"/>
  </r>
  <r>
    <x v="364"/>
    <n v="528834.42688035837"/>
    <n v="4653.7429565471539"/>
    <n v="533488.16983690555"/>
    <n v="200"/>
    <m/>
    <n v="533688.16983690555"/>
  </r>
  <r>
    <x v="365"/>
    <n v="533688.16983690555"/>
    <n v="4696.4558945647696"/>
    <n v="538384.6257314703"/>
    <n v="200"/>
    <m/>
    <n v="538584.6257314703"/>
  </r>
  <r>
    <x v="366"/>
    <n v="538584.6257314703"/>
    <n v="4739.5447064369391"/>
    <n v="543324.17043790722"/>
    <n v="200"/>
    <m/>
    <n v="543524.17043790722"/>
  </r>
  <r>
    <x v="367"/>
    <n v="543524.17043790722"/>
    <n v="4783.0126998535834"/>
    <n v="548307.18313776085"/>
    <n v="200"/>
    <m/>
    <n v="548507.18313776085"/>
  </r>
  <r>
    <x v="368"/>
    <n v="548507.18313776085"/>
    <n v="4826.8632116122953"/>
    <n v="553334.04634937318"/>
    <n v="200"/>
    <m/>
    <n v="553534.04634937318"/>
  </r>
  <r>
    <x v="369"/>
    <n v="553534.04634937318"/>
    <n v="4871.0996078744847"/>
    <n v="558405.1459572477"/>
    <n v="200"/>
    <m/>
    <n v="558605.1459572477"/>
  </r>
  <r>
    <x v="370"/>
    <n v="558605.1459572477"/>
    <n v="4915.7252844237801"/>
    <n v="563520.8712416715"/>
    <n v="200"/>
    <m/>
    <n v="563720.8712416715"/>
  </r>
  <r>
    <x v="371"/>
    <n v="563720.8712416715"/>
    <n v="4960.7436669267099"/>
    <n v="568681.61490859825"/>
    <n v="200"/>
    <m/>
    <n v="568881.61490859825"/>
  </r>
  <r>
    <x v="372"/>
    <n v="568881.61490859825"/>
    <n v="5006.158211195665"/>
    <n v="573887.77311979386"/>
    <n v="200"/>
    <m/>
    <n v="574087.77311979386"/>
  </r>
  <r>
    <x v="373"/>
    <n v="574087.77311979386"/>
    <n v="5051.972403454186"/>
    <n v="579139.74552324798"/>
    <n v="200"/>
    <m/>
    <n v="579339.74552324798"/>
  </r>
  <r>
    <x v="374"/>
    <n v="579339.74552324798"/>
    <n v="5098.1897606045823"/>
    <n v="584437.93528385251"/>
    <n v="200"/>
    <m/>
    <n v="584637.93528385251"/>
  </r>
  <r>
    <x v="375"/>
    <n v="584637.93528385251"/>
    <n v="5144.813830497902"/>
    <n v="589782.74911435042"/>
    <n v="200"/>
    <m/>
    <n v="589982.74911435042"/>
  </r>
  <r>
    <x v="376"/>
    <n v="589982.74911435042"/>
    <n v="5191.8481922062838"/>
    <n v="595174.59730655665"/>
    <n v="200"/>
    <m/>
    <n v="595374.59730655665"/>
  </r>
  <r>
    <x v="377"/>
    <n v="595374.59730655665"/>
    <n v="5239.2964562976986"/>
    <n v="600613.89376285439"/>
    <n v="200"/>
    <m/>
    <n v="600813.89376285439"/>
  </r>
  <r>
    <x v="378"/>
    <n v="600813.89376285439"/>
    <n v="5287.1622651131192"/>
    <n v="606101.05602796748"/>
    <n v="200"/>
    <m/>
    <n v="606301.05602796748"/>
  </r>
  <r>
    <x v="379"/>
    <n v="606301.05602796748"/>
    <n v="5335.4492930461138"/>
    <n v="611636.50532101362"/>
    <n v="200"/>
    <m/>
    <n v="611836.50532101362"/>
  </r>
  <r>
    <x v="380"/>
    <n v="611836.50532101362"/>
    <n v="5384.1612468249205"/>
    <n v="617220.66656783852"/>
    <n v="200"/>
    <m/>
    <n v="617420.66656783852"/>
  </r>
  <r>
    <x v="381"/>
    <n v="617420.66656783852"/>
    <n v="5433.3018657969797"/>
    <n v="622853.96843363554"/>
    <n v="200"/>
    <m/>
    <n v="623053.96843363554"/>
  </r>
  <r>
    <x v="382"/>
    <n v="623053.96843363554"/>
    <n v="5482.8749222159931"/>
    <n v="628536.84335585148"/>
    <n v="200"/>
    <m/>
    <n v="628736.84335585148"/>
  </r>
  <r>
    <x v="383"/>
    <n v="628736.84335585148"/>
    <n v="5532.8842215314935"/>
    <n v="634269.72757738293"/>
    <n v="200"/>
    <m/>
    <n v="634469.72757738293"/>
  </r>
  <r>
    <x v="384"/>
    <n v="634469.72757738293"/>
    <n v="5583.3336026809702"/>
    <n v="640053.06118006387"/>
    <n v="200"/>
    <m/>
    <n v="640253.06118006387"/>
  </r>
  <r>
    <x v="385"/>
    <n v="640253.06118006387"/>
    <n v="5634.2269383845623"/>
    <n v="645887.28811844846"/>
    <n v="200"/>
    <m/>
    <n v="646087.28811844846"/>
  </r>
  <r>
    <x v="386"/>
    <n v="646087.28811844846"/>
    <n v="5685.5681354423468"/>
    <n v="651772.85625389079"/>
    <n v="200"/>
    <m/>
    <n v="651972.85625389079"/>
  </r>
  <r>
    <x v="387"/>
    <n v="651972.85625389079"/>
    <n v="5737.3611350342389"/>
    <n v="657710.21738892503"/>
    <n v="200"/>
    <m/>
    <n v="657910.21738892503"/>
  </r>
  <r>
    <x v="388"/>
    <n v="657910.21738892503"/>
    <n v="5789.6099130225402"/>
    <n v="663699.82730194752"/>
    <n v="200"/>
    <m/>
    <n v="663899.82730194752"/>
  </r>
  <r>
    <x v="389"/>
    <n v="663899.82730194752"/>
    <n v="5842.3184802571386"/>
    <n v="669742.14578220469"/>
    <n v="200"/>
    <m/>
    <n v="669942.14578220469"/>
  </r>
  <r>
    <x v="390"/>
    <n v="669942.14578220469"/>
    <n v="5895.4908828834014"/>
    <n v="675837.63666508812"/>
    <n v="200"/>
    <m/>
    <n v="676037.63666508812"/>
  </r>
  <r>
    <x v="391"/>
    <n v="676037.63666508812"/>
    <n v="5949.1312026527758"/>
    <n v="681986.76786774094"/>
    <n v="200"/>
    <m/>
    <n v="682186.76786774094"/>
  </r>
  <r>
    <x v="392"/>
    <n v="682186.76786774094"/>
    <n v="6003.243557236121"/>
    <n v="688190.0114249771"/>
    <n v="200"/>
    <m/>
    <n v="688390.0114249771"/>
  </r>
  <r>
    <x v="393"/>
    <n v="688390.0114249771"/>
    <n v="6057.8321005397993"/>
    <n v="694447.84352551692"/>
    <n v="200"/>
    <m/>
    <n v="694647.84352551692"/>
  </r>
  <r>
    <x v="394"/>
    <n v="694647.84352551692"/>
    <n v="6112.9010230245494"/>
    <n v="700760.74454854149"/>
    <n v="200"/>
    <m/>
    <n v="700960.74454854149"/>
  </r>
  <r>
    <x v="395"/>
    <n v="700960.74454854149"/>
    <n v="6168.4545520271658"/>
    <n v="707129.19910056866"/>
    <n v="200"/>
    <m/>
    <n v="707329.19910056866"/>
  </r>
  <r>
    <x v="396"/>
    <n v="707329.19910056866"/>
    <n v="6224.4969520850045"/>
    <n v="713553.69605265372"/>
    <n v="200"/>
    <m/>
    <n v="713753.69605265372"/>
  </r>
  <r>
    <x v="397"/>
    <n v="713753.69605265372"/>
    <n v="6281.0325252633529"/>
    <n v="720034.72857791709"/>
    <n v="200"/>
    <m/>
    <n v="720234.72857791709"/>
  </r>
  <r>
    <x v="398"/>
    <n v="720234.72857791709"/>
    <n v="6338.0656114856711"/>
    <n v="726572.79418940272"/>
    <n v="200"/>
    <m/>
    <n v="726772.79418940272"/>
  </r>
  <r>
    <x v="399"/>
    <n v="726772.79418940272"/>
    <n v="6395.6005888667441"/>
    <n v="733168.39477826946"/>
    <n v="200"/>
    <m/>
    <n v="733368.39477826946"/>
  </r>
  <r>
    <x v="400"/>
    <n v="733368.39477826946"/>
    <n v="6453.6418740487716"/>
    <n v="739822.0366523182"/>
    <n v="200"/>
    <m/>
    <n v="740022.0366523182"/>
  </r>
  <r>
    <x v="401"/>
    <n v="740022.0366523182"/>
    <n v="6512.1939225404003"/>
    <n v="746534.23057485861"/>
    <n v="200"/>
    <m/>
    <n v="746734.23057485861"/>
  </r>
  <r>
    <x v="402"/>
    <n v="746734.23057485861"/>
    <n v="6571.2612290587558"/>
    <n v="753305.49180391734"/>
    <n v="200"/>
    <m/>
    <n v="753505.49180391734"/>
  </r>
  <r>
    <x v="403"/>
    <n v="753505.49180391734"/>
    <n v="6630.8483278744734"/>
    <n v="760136.34013179177"/>
    <n v="200"/>
    <m/>
    <n v="760336.34013179177"/>
  </r>
  <r>
    <x v="404"/>
    <n v="760336.34013179177"/>
    <n v="6690.9597931597682"/>
    <n v="767027.29992495151"/>
    <n v="200"/>
    <m/>
    <n v="767227.29992495151"/>
  </r>
  <r>
    <x v="405"/>
    <n v="767227.29992495151"/>
    <n v="6751.6002393395738"/>
    <n v="773978.90016429103"/>
    <n v="200"/>
    <m/>
    <n v="774178.90016429103"/>
  </r>
  <r>
    <x v="406"/>
    <n v="774178.90016429103"/>
    <n v="6812.7743214457614"/>
    <n v="780991.67448573676"/>
    <n v="200"/>
    <m/>
    <n v="781191.67448573676"/>
  </r>
  <r>
    <x v="407"/>
    <n v="781191.67448573676"/>
    <n v="6874.4867354744838"/>
    <n v="788066.16122121119"/>
    <n v="200"/>
    <m/>
    <n v="788266.16122121119"/>
  </r>
  <r>
    <x v="408"/>
    <n v="788266.16122121119"/>
    <n v="6936.7422187466591"/>
    <n v="795202.90343995788"/>
    <n v="200"/>
    <m/>
    <n v="795402.90343995788"/>
  </r>
  <r>
    <x v="409"/>
    <n v="795402.90343995788"/>
    <n v="6999.5455502716295"/>
    <n v="802402.44899022952"/>
    <n v="200"/>
    <m/>
    <n v="802602.44899022952"/>
  </r>
  <r>
    <x v="410"/>
    <n v="802602.44899022952"/>
    <n v="7062.9015511140205"/>
    <n v="809665.35054134356"/>
    <n v="200"/>
    <m/>
    <n v="809865.35054134356"/>
  </r>
  <r>
    <x v="411"/>
    <n v="809865.35054134356"/>
    <n v="7126.8150847638235"/>
    <n v="816992.16562610737"/>
    <n v="200"/>
    <m/>
    <n v="817192.16562610737"/>
  </r>
  <r>
    <x v="412"/>
    <n v="817192.16562610737"/>
    <n v="7191.2910575097449"/>
    <n v="824383.45668361709"/>
    <n v="200"/>
    <m/>
    <n v="824583.45668361709"/>
  </r>
  <r>
    <x v="413"/>
    <n v="824583.45668361709"/>
    <n v="7256.3344188158308"/>
    <n v="831839.79110243288"/>
    <n v="200"/>
    <m/>
    <n v="832039.79110243288"/>
  </r>
  <r>
    <x v="414"/>
    <n v="832039.79110243288"/>
    <n v="7321.9501617014093"/>
    <n v="839361.7412641343"/>
    <n v="200"/>
    <m/>
    <n v="839561.7412641343"/>
  </r>
  <r>
    <x v="415"/>
    <n v="839561.7412641343"/>
    <n v="7388.1433231243818"/>
    <n v="846949.88458725868"/>
    <n v="200"/>
    <m/>
    <n v="847149.88458725868"/>
  </r>
  <r>
    <x v="416"/>
    <n v="847149.88458725868"/>
    <n v="7454.9189843678769"/>
    <n v="854604.80357162654"/>
    <n v="200"/>
    <m/>
    <n v="854804.80357162654"/>
  </r>
  <r>
    <x v="417"/>
    <n v="854804.80357162654"/>
    <n v="7522.2822714303138"/>
    <n v="862327.08584305691"/>
    <n v="200"/>
    <m/>
    <n v="862527.08584305691"/>
  </r>
  <r>
    <x v="418"/>
    <n v="862527.08584305691"/>
    <n v="7590.2383554189009"/>
    <n v="870117.32419847581"/>
    <n v="200"/>
    <m/>
    <n v="870317.32419847581"/>
  </r>
  <r>
    <x v="419"/>
    <n v="870317.32419847581"/>
    <n v="7658.7924529465872"/>
    <n v="877976.11665142234"/>
    <n v="200"/>
    <m/>
    <n v="878176.11665142234"/>
  </r>
  <r>
    <x v="420"/>
    <n v="878176.11665142234"/>
    <n v="7727.9498265325174"/>
    <n v="885904.06647795485"/>
    <n v="200"/>
    <m/>
    <n v="886104.06647795485"/>
  </r>
  <r>
    <x v="421"/>
    <n v="886104.06647795485"/>
    <n v="7797.715785006003"/>
    <n v="893901.78226296091"/>
    <n v="200"/>
    <m/>
    <n v="894101.78226296091"/>
  </r>
  <r>
    <x v="422"/>
    <n v="894101.78226296091"/>
    <n v="7868.0956839140563"/>
    <n v="901969.87794687494"/>
    <n v="200"/>
    <m/>
    <n v="902169.87794687494"/>
  </r>
  <r>
    <x v="423"/>
    <n v="902169.87794687494"/>
    <n v="7939.0949259324998"/>
    <n v="910108.97287280741"/>
    <n v="200"/>
    <m/>
    <n v="910308.97287280741"/>
  </r>
  <r>
    <x v="424"/>
    <n v="910308.97287280741"/>
    <n v="8010.718961280706"/>
    <n v="918319.69183408807"/>
    <n v="200"/>
    <m/>
    <n v="918519.69183408807"/>
  </r>
  <r>
    <x v="425"/>
    <n v="918519.69183408807"/>
    <n v="8082.973288139975"/>
    <n v="926602.66512222809"/>
    <n v="200"/>
    <m/>
    <n v="926802.66512222809"/>
  </r>
  <r>
    <x v="426"/>
    <n v="926802.66512222809"/>
    <n v="8155.863453075608"/>
    <n v="934958.52857530373"/>
    <n v="200"/>
    <m/>
    <n v="935158.52857530373"/>
  </r>
  <r>
    <x v="427"/>
    <n v="935158.52857530373"/>
    <n v="8229.395051462674"/>
    <n v="943387.92362676642"/>
    <n v="200"/>
    <m/>
    <n v="943587.92362676642"/>
  </r>
  <r>
    <x v="428"/>
    <n v="943587.92362676642"/>
    <n v="8303.5737279155455"/>
    <n v="951891.49735468195"/>
    <n v="200"/>
    <m/>
    <n v="952091.49735468195"/>
  </r>
  <r>
    <x v="429"/>
    <n v="952091.49735468195"/>
    <n v="8378.4051767212022"/>
    <n v="960469.90253140312"/>
    <n v="200"/>
    <m/>
    <n v="960669.90253140312"/>
  </r>
  <r>
    <x v="430"/>
    <n v="960669.90253140312"/>
    <n v="8453.8951422763475"/>
    <n v="969123.79767367942"/>
    <n v="200"/>
    <m/>
    <n v="969323.79767367942"/>
  </r>
  <r>
    <x v="431"/>
    <n v="969323.79767367942"/>
    <n v="8530.0494195283791"/>
    <n v="977853.84709320776"/>
    <n v="200"/>
    <m/>
    <n v="978053.84709320776"/>
  </r>
  <r>
    <x v="432"/>
    <n v="978053.84709320776"/>
    <n v="8606.8738544202297"/>
    <n v="986660.72094762803"/>
    <n v="200"/>
    <m/>
    <n v="986860.72094762803"/>
  </r>
  <r>
    <x v="433"/>
    <n v="986860.72094762803"/>
    <n v="8684.3743443391268"/>
    <n v="995545.09529196715"/>
    <n v="200"/>
    <m/>
    <n v="995745.09529196715"/>
  </r>
  <r>
    <x v="434"/>
    <n v="995745.09529196715"/>
    <n v="8762.5568385693114"/>
    <n v="1004507.6521305365"/>
    <n v="200"/>
    <m/>
    <n v="1004707.6521305365"/>
  </r>
  <r>
    <x v="435"/>
    <n v="1004707.6521305365"/>
    <n v="8841.427338748721"/>
    <n v="1013549.0794692852"/>
    <n v="200"/>
    <m/>
    <n v="1013749.0794692852"/>
  </r>
  <r>
    <x v="436"/>
    <n v="1013749.0794692852"/>
    <n v="8920.9918993297106"/>
    <n v="1022670.0713686149"/>
    <n v="200"/>
    <m/>
    <n v="1022870.0713686149"/>
  </r>
  <r>
    <x v="437"/>
    <n v="1022870.0713686149"/>
    <n v="9001.2566280438114"/>
    <n v="1031871.3279966587"/>
    <n v="200"/>
    <m/>
    <n v="1032071.3279966587"/>
  </r>
  <r>
    <x v="438"/>
    <n v="1032071.3279966587"/>
    <n v="9082.2276863705974"/>
    <n v="1041153.5556830293"/>
    <n v="200"/>
    <m/>
    <n v="1041353.5556830293"/>
  </r>
  <r>
    <x v="439"/>
    <n v="1041353.5556830293"/>
    <n v="9163.9112900106593"/>
    <n v="1050517.46697304"/>
    <n v="200"/>
    <m/>
    <n v="1050717.46697304"/>
  </r>
  <r>
    <x v="440"/>
    <n v="1050717.46697304"/>
    <n v="9246.313709362752"/>
    <n v="1059963.7806824027"/>
    <n v="200"/>
    <m/>
    <n v="1060163.7806824027"/>
  </r>
  <r>
    <x v="441"/>
    <n v="1060163.7806824027"/>
    <n v="9329.4412700051435"/>
    <n v="1069493.2219524079"/>
    <n v="200"/>
    <m/>
    <n v="1069693.2219524079"/>
  </r>
  <r>
    <x v="442"/>
    <n v="1069693.2219524079"/>
    <n v="9413.3003531811901"/>
    <n v="1079106.5223055889"/>
    <n v="200"/>
    <m/>
    <n v="1079306.5223055889"/>
  </r>
  <r>
    <x v="443"/>
    <n v="1079306.5223055889"/>
    <n v="9497.8973962891832"/>
    <n v="1088804.4197018782"/>
    <n v="200"/>
    <m/>
    <n v="1089004.4197018782"/>
  </r>
  <r>
    <x v="444"/>
    <n v="1089004.4197018782"/>
    <n v="9583.2388933765287"/>
    <n v="1098587.6585952546"/>
    <n v="200"/>
    <m/>
    <n v="1098787.6585952546"/>
  </r>
  <r>
    <x v="445"/>
    <n v="1098787.6585952546"/>
    <n v="9669.3313956382408"/>
    <n v="1108456.9899908928"/>
    <n v="200"/>
    <m/>
    <n v="1108656.9899908928"/>
  </r>
  <r>
    <x v="446"/>
    <n v="1108656.9899908928"/>
    <n v="9756.1815119198582"/>
    <n v="1118413.1715028128"/>
    <n v="200"/>
    <m/>
    <n v="1118613.1715028128"/>
  </r>
  <r>
    <x v="447"/>
    <n v="1118613.1715028128"/>
    <n v="9843.7959092247529"/>
    <n v="1128456.9674120375"/>
    <n v="200"/>
    <m/>
    <n v="1128656.9674120375"/>
  </r>
  <r>
    <x v="448"/>
    <n v="1128656.9674120375"/>
    <n v="9932.1813132259304"/>
    <n v="1138589.1487252635"/>
    <n v="200"/>
    <m/>
    <n v="1138789.1487252635"/>
  </r>
  <r>
    <x v="449"/>
    <n v="1138789.1487252635"/>
    <n v="10021.34450878232"/>
    <n v="1148810.4932340458"/>
    <n v="200"/>
    <m/>
    <n v="1149010.4932340458"/>
  </r>
  <r>
    <x v="450"/>
    <n v="1149010.4932340458"/>
    <n v="10111.292340459604"/>
    <n v="1159121.7855745053"/>
    <n v="200"/>
    <m/>
    <n v="1159321.7855745053"/>
  </r>
  <r>
    <x v="451"/>
    <n v="1159321.7855745053"/>
    <n v="10202.031713055647"/>
    <n v="1169523.817287561"/>
    <n v="200"/>
    <m/>
    <n v="1169723.817287561"/>
  </r>
  <r>
    <x v="452"/>
    <n v="1169723.817287561"/>
    <n v="10293.569592130538"/>
    <n v="1180017.3868796916"/>
    <n v="200"/>
    <m/>
    <n v="1180217.3868796916"/>
  </r>
  <r>
    <x v="453"/>
    <n v="1180217.3868796916"/>
    <n v="10385.913004541288"/>
    <n v="1190603.2998842329"/>
    <n v="200"/>
    <m/>
    <n v="1190803.2998842329"/>
  </r>
  <r>
    <x v="454"/>
    <n v="1190803.2998842329"/>
    <n v="10479.06903898125"/>
    <n v="1201282.3689232143"/>
    <n v="200"/>
    <m/>
    <n v="1201482.3689232143"/>
  </r>
  <r>
    <x v="455"/>
    <n v="1201482.3689232143"/>
    <n v="10573.044846524286"/>
    <n v="1212055.4137697385"/>
    <n v="200"/>
    <m/>
    <n v="1212255.4137697385"/>
  </r>
  <r>
    <x v="456"/>
    <n v="1212255.4137697385"/>
    <n v="10667.847641173699"/>
    <n v="1222923.2614109123"/>
    <n v="200"/>
    <m/>
    <n v="1223123.2614109123"/>
  </r>
  <r>
    <x v="457"/>
    <n v="1223123.2614109123"/>
    <n v="10763.484700416029"/>
    <n v="1233886.7461113282"/>
    <n v="200"/>
    <m/>
    <n v="1234086.7461113282"/>
  </r>
  <r>
    <x v="458"/>
    <n v="1234086.7461113282"/>
    <n v="10859.963365779689"/>
    <n v="1244946.709477108"/>
    <n v="200"/>
    <m/>
    <n v="1245146.709477108"/>
  </r>
  <r>
    <x v="459"/>
    <n v="1245146.709477108"/>
    <n v="10957.291043398551"/>
    <n v="1256104.0005205064"/>
    <n v="200"/>
    <m/>
    <n v="1256304.0005205064"/>
  </r>
  <r>
    <x v="460"/>
    <n v="1256304.0005205064"/>
    <n v="11055.475204580456"/>
    <n v="1267359.4757250869"/>
    <n v="200"/>
    <m/>
    <n v="1267559.4757250869"/>
  </r>
  <r>
    <x v="461"/>
    <n v="1267559.4757250869"/>
    <n v="11154.523386380764"/>
    <n v="1278713.9991114677"/>
    <n v="200"/>
    <m/>
    <n v="1278913.9991114677"/>
  </r>
  <r>
    <x v="462"/>
    <n v="1278913.9991114677"/>
    <n v="11254.443192180917"/>
    <n v="1290168.4423036487"/>
    <n v="200"/>
    <m/>
    <n v="1290368.4423036487"/>
  </r>
  <r>
    <x v="463"/>
    <n v="1290368.4423036487"/>
    <n v="11355.242292272109"/>
    <n v="1301723.6845959208"/>
    <n v="200"/>
    <m/>
    <n v="1301923.6845959208"/>
  </r>
  <r>
    <x v="464"/>
    <n v="1301923.6845959208"/>
    <n v="11456.928424444104"/>
    <n v="1313380.6130203649"/>
    <n v="200"/>
    <m/>
    <n v="1313580.6130203649"/>
  </r>
  <r>
    <x v="465"/>
    <n v="1313580.6130203649"/>
    <n v="11559.509394579212"/>
    <n v="1325140.122414944"/>
    <n v="200"/>
    <m/>
    <n v="1325340.122414944"/>
  </r>
  <r>
    <x v="466"/>
    <n v="1325340.122414944"/>
    <n v="11662.993077251507"/>
    <n v="1337003.1154921956"/>
    <n v="200"/>
    <m/>
    <n v="1337203.1154921956"/>
  </r>
  <r>
    <x v="467"/>
    <n v="1337203.1154921956"/>
    <n v="11767.387416331321"/>
    <n v="1348970.5029085269"/>
    <n v="200"/>
    <m/>
    <n v="1349170.5029085269"/>
  </r>
  <r>
    <x v="468"/>
    <n v="1349170.5029085269"/>
    <n v="11872.700425595038"/>
    <n v="1361043.203334122"/>
    <n v="200"/>
    <m/>
    <n v="1361243.203334122"/>
  </r>
  <r>
    <x v="469"/>
    <n v="1361243.203334122"/>
    <n v="11978.940189340274"/>
    <n v="1373222.1435234623"/>
    <n v="200"/>
    <m/>
    <n v="1373422.1435234623"/>
  </r>
  <r>
    <x v="470"/>
    <n v="1373422.1435234623"/>
    <n v="12086.114863006469"/>
    <n v="1385508.2583864687"/>
    <n v="200"/>
    <m/>
    <n v="1385708.2583864687"/>
  </r>
  <r>
    <x v="471"/>
    <n v="1385708.2583864687"/>
    <n v="12194.232673800925"/>
    <n v="1397902.4910602698"/>
    <n v="200"/>
    <m/>
    <n v="1398102.4910602698"/>
  </r>
  <r>
    <x v="472"/>
    <n v="1398102.4910602698"/>
    <n v="12303.301921330374"/>
    <n v="1410405.7929816002"/>
    <n v="200"/>
    <m/>
    <n v="1410605.7929816002"/>
  </r>
  <r>
    <x v="473"/>
    <n v="1410605.7929816002"/>
    <n v="12413.330978238082"/>
    <n v="1423019.1239598382"/>
    <n v="200"/>
    <m/>
    <n v="1423219.1239598382"/>
  </r>
  <r>
    <x v="474"/>
    <n v="1423219.1239598382"/>
    <n v="12524.328290846577"/>
    <n v="1435743.4522506848"/>
    <n v="200"/>
    <m/>
    <n v="1435943.4522506848"/>
  </r>
  <r>
    <x v="475"/>
    <n v="1435943.4522506848"/>
    <n v="12636.302379806028"/>
    <n v="1448579.7546304909"/>
    <n v="200"/>
    <m/>
    <n v="1448779.7546304909"/>
  </r>
  <r>
    <x v="476"/>
    <n v="1448779.7546304909"/>
    <n v="12749.261840748321"/>
    <n v="1461529.0164712393"/>
    <n v="200"/>
    <m/>
    <n v="1461729.0164712393"/>
  </r>
  <r>
    <x v="477"/>
    <n v="1461729.0164712393"/>
    <n v="12863.215344946906"/>
    <n v="1474592.2318161861"/>
    <n v="200"/>
    <m/>
    <n v="1474792.2318161861"/>
  </r>
  <r>
    <x v="478"/>
    <n v="1474792.2318161861"/>
    <n v="12978.171639982438"/>
    <n v="1487770.4034561685"/>
    <n v="200"/>
    <m/>
    <n v="1487970.4034561685"/>
  </r>
  <r>
    <x v="479"/>
    <n v="1487970.4034561685"/>
    <n v="13094.139550414284"/>
    <n v="1501064.5430065827"/>
    <n v="200"/>
    <m/>
    <n v="1501264.5430065827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  <r>
    <x v="480"/>
    <n v="0"/>
    <n v="0"/>
    <n v="0"/>
    <n v="0"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69147-E952-4213-84DE-3E094A6A5562}" name="Tabela dinâmica1" cacheId="10425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3">
  <location ref="A3:B485" firstHeaderRow="1" firstDataRow="1" firstDataCol="1"/>
  <pivotFields count="7">
    <pivotField axis="axisRow" numFmtId="166" showAll="0">
      <items count="482">
        <item x="48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t="default"/>
      </items>
    </pivotField>
    <pivotField numFmtId="165" showAll="0"/>
    <pivotField numFmtId="165" showAll="0"/>
    <pivotField numFmtId="165" showAll="0"/>
    <pivotField numFmtId="165" showAll="0"/>
    <pivotField showAll="0"/>
    <pivotField dataField="1" numFmtId="165" showAll="0"/>
  </pivotFields>
  <rowFields count="1">
    <field x="0"/>
  </rowFields>
  <rowItems count="48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 t="grand">
      <x/>
    </i>
  </rowItems>
  <colItems count="1">
    <i/>
  </colItems>
  <dataFields count="1">
    <dataField name="Soma de Saldo Final" fld="6" baseField="0" baseItem="0"/>
  </dataFields>
  <formats count="10">
    <format dxfId="9">
      <pivotArea collapsedLevelsAreSubtotals="1" fieldPosition="0">
        <references count="1">
          <reference field="0" count="0"/>
        </references>
      </pivotArea>
    </format>
    <format dxfId="8">
      <pivotArea grandRow="1" outline="0" collapsedLevelsAreSubtotals="1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0" type="button" dataOnly="0" labelOnly="1" outline="0" axis="axisRow" fieldPosition="0"/>
    </format>
    <format dxfId="4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">
      <pivotArea dataOnly="0" labelOnly="1" fieldPosition="0">
        <references count="1">
          <reference field="0" count="21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</reference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30018-837B-4324-B4A9-D25762659A72}">
  <sheetPr codeName="Planilha1"/>
  <dimension ref="A3:B485"/>
  <sheetViews>
    <sheetView workbookViewId="0">
      <selection activeCell="E7" sqref="E7"/>
    </sheetView>
  </sheetViews>
  <sheetFormatPr defaultRowHeight="15" x14ac:dyDescent="0.25"/>
  <cols>
    <col min="1" max="1" width="18" style="55" bestFit="1" customWidth="1"/>
    <col min="2" max="2" width="18.85546875" style="55" bestFit="1" customWidth="1"/>
    <col min="3" max="3" width="28.42578125" bestFit="1" customWidth="1"/>
  </cols>
  <sheetData>
    <row r="3" spans="1:2" x14ac:dyDescent="0.25">
      <c r="A3" s="54" t="s">
        <v>14</v>
      </c>
      <c r="B3" s="55" t="s">
        <v>16</v>
      </c>
    </row>
    <row r="4" spans="1:2" x14ac:dyDescent="0.25">
      <c r="A4" s="56">
        <v>0</v>
      </c>
      <c r="B4" s="57">
        <v>0</v>
      </c>
    </row>
    <row r="5" spans="1:2" x14ac:dyDescent="0.25">
      <c r="A5" s="56">
        <v>1</v>
      </c>
      <c r="B5" s="57">
        <v>200</v>
      </c>
    </row>
    <row r="6" spans="1:2" x14ac:dyDescent="0.25">
      <c r="A6" s="56">
        <v>2</v>
      </c>
      <c r="B6" s="57">
        <v>401.76</v>
      </c>
    </row>
    <row r="7" spans="1:2" x14ac:dyDescent="0.25">
      <c r="A7" s="56">
        <v>3</v>
      </c>
      <c r="B7" s="57">
        <v>605.29548799999998</v>
      </c>
    </row>
    <row r="8" spans="1:2" x14ac:dyDescent="0.25">
      <c r="A8" s="56">
        <v>4</v>
      </c>
      <c r="B8" s="57">
        <v>810.62208829439999</v>
      </c>
    </row>
    <row r="9" spans="1:2" x14ac:dyDescent="0.25">
      <c r="A9" s="56">
        <v>5</v>
      </c>
      <c r="B9" s="57">
        <v>1017.7555626713907</v>
      </c>
    </row>
    <row r="10" spans="1:2" x14ac:dyDescent="0.25">
      <c r="A10" s="56">
        <v>6</v>
      </c>
      <c r="B10" s="57">
        <v>1226.7118116228989</v>
      </c>
    </row>
    <row r="11" spans="1:2" x14ac:dyDescent="0.25">
      <c r="A11" s="56">
        <v>7</v>
      </c>
      <c r="B11" s="57">
        <v>1437.5068755651805</v>
      </c>
    </row>
    <row r="12" spans="1:2" x14ac:dyDescent="0.25">
      <c r="A12" s="56">
        <v>8</v>
      </c>
      <c r="B12" s="57">
        <v>1650.1569360701542</v>
      </c>
    </row>
    <row r="13" spans="1:2" x14ac:dyDescent="0.25">
      <c r="A13" s="56">
        <v>9</v>
      </c>
      <c r="B13" s="57">
        <v>1864.6783171075715</v>
      </c>
    </row>
    <row r="14" spans="1:2" x14ac:dyDescent="0.25">
      <c r="A14" s="56">
        <v>10</v>
      </c>
      <c r="B14" s="57">
        <v>2081.0874862981182</v>
      </c>
    </row>
    <row r="15" spans="1:2" x14ac:dyDescent="0.25">
      <c r="A15" s="56">
        <v>11</v>
      </c>
      <c r="B15" s="57">
        <v>2299.4010561775417</v>
      </c>
    </row>
    <row r="16" spans="1:2" x14ac:dyDescent="0.25">
      <c r="A16" s="56">
        <v>12</v>
      </c>
      <c r="B16" s="57">
        <v>2519.635785471904</v>
      </c>
    </row>
    <row r="17" spans="1:2" x14ac:dyDescent="0.25">
      <c r="A17" s="56">
        <v>13</v>
      </c>
      <c r="B17" s="57">
        <v>2741.8085803840568</v>
      </c>
    </row>
    <row r="18" spans="1:2" x14ac:dyDescent="0.25">
      <c r="A18" s="56">
        <v>14</v>
      </c>
      <c r="B18" s="57">
        <v>2965.9364958914366</v>
      </c>
    </row>
    <row r="19" spans="1:2" x14ac:dyDescent="0.25">
      <c r="A19" s="56">
        <v>15</v>
      </c>
      <c r="B19" s="57">
        <v>3192.0367370552813</v>
      </c>
    </row>
    <row r="20" spans="1:2" x14ac:dyDescent="0.25">
      <c r="A20" s="56">
        <v>16</v>
      </c>
      <c r="B20" s="57">
        <v>3420.1266603413678</v>
      </c>
    </row>
    <row r="21" spans="1:2" x14ac:dyDescent="0.25">
      <c r="A21" s="56">
        <v>17</v>
      </c>
      <c r="B21" s="57">
        <v>3650.223774952372</v>
      </c>
    </row>
    <row r="22" spans="1:2" x14ac:dyDescent="0.25">
      <c r="A22" s="56">
        <v>18</v>
      </c>
      <c r="B22" s="57">
        <v>3882.3457441719529</v>
      </c>
    </row>
    <row r="23" spans="1:2" x14ac:dyDescent="0.25">
      <c r="A23" s="56">
        <v>19</v>
      </c>
      <c r="B23" s="57">
        <v>4116.5103867206662</v>
      </c>
    </row>
    <row r="24" spans="1:2" x14ac:dyDescent="0.25">
      <c r="A24" s="56">
        <v>20</v>
      </c>
      <c r="B24" s="57">
        <v>4352.7356781238077</v>
      </c>
    </row>
    <row r="25" spans="1:2" x14ac:dyDescent="0.25">
      <c r="A25" s="56">
        <v>21</v>
      </c>
      <c r="B25" s="57">
        <v>4591.0397520912975</v>
      </c>
    </row>
    <row r="26" spans="1:2" x14ac:dyDescent="0.25">
      <c r="A26" s="56">
        <v>22</v>
      </c>
      <c r="B26" s="57">
        <v>4831.4409019097011</v>
      </c>
    </row>
    <row r="27" spans="1:2" x14ac:dyDescent="0.25">
      <c r="A27" s="56">
        <v>23</v>
      </c>
      <c r="B27" s="57">
        <v>5073.9575818465064</v>
      </c>
    </row>
    <row r="28" spans="1:2" x14ac:dyDescent="0.25">
      <c r="A28" s="56">
        <v>24</v>
      </c>
      <c r="B28" s="57">
        <v>5318.6084085667553</v>
      </c>
    </row>
    <row r="29" spans="1:2" x14ac:dyDescent="0.25">
      <c r="A29" s="56">
        <v>25</v>
      </c>
      <c r="B29" s="57">
        <v>5565.4121625621428</v>
      </c>
    </row>
    <row r="30" spans="1:2" x14ac:dyDescent="0.25">
      <c r="A30" s="56">
        <v>26</v>
      </c>
      <c r="B30" s="57">
        <v>5814.3877895926898</v>
      </c>
    </row>
    <row r="31" spans="1:2" x14ac:dyDescent="0.25">
      <c r="A31" s="56">
        <v>27</v>
      </c>
      <c r="B31" s="57">
        <v>6065.5544021411051</v>
      </c>
    </row>
    <row r="32" spans="1:2" x14ac:dyDescent="0.25">
      <c r="A32" s="56">
        <v>28</v>
      </c>
      <c r="B32" s="57">
        <v>6318.9312808799468</v>
      </c>
    </row>
    <row r="33" spans="1:2" x14ac:dyDescent="0.25">
      <c r="A33" s="56">
        <v>29</v>
      </c>
      <c r="B33" s="57">
        <v>6574.5378761516904</v>
      </c>
    </row>
    <row r="34" spans="1:2" x14ac:dyDescent="0.25">
      <c r="A34" s="56">
        <v>30</v>
      </c>
      <c r="B34" s="57">
        <v>6832.3938094618252</v>
      </c>
    </row>
    <row r="35" spans="1:2" x14ac:dyDescent="0.25">
      <c r="A35" s="56">
        <v>31</v>
      </c>
      <c r="B35" s="57">
        <v>7092.5188749850895</v>
      </c>
    </row>
    <row r="36" spans="1:2" x14ac:dyDescent="0.25">
      <c r="A36" s="56">
        <v>32</v>
      </c>
      <c r="B36" s="57">
        <v>7354.9330410849579</v>
      </c>
    </row>
    <row r="37" spans="1:2" x14ac:dyDescent="0.25">
      <c r="A37" s="56">
        <v>33</v>
      </c>
      <c r="B37" s="57">
        <v>7619.6564518465057</v>
      </c>
    </row>
    <row r="38" spans="1:2" x14ac:dyDescent="0.25">
      <c r="A38" s="56">
        <v>34</v>
      </c>
      <c r="B38" s="57">
        <v>7886.7094286227548</v>
      </c>
    </row>
    <row r="39" spans="1:2" x14ac:dyDescent="0.25">
      <c r="A39" s="56">
        <v>35</v>
      </c>
      <c r="B39" s="57">
        <v>8156.1124715946353</v>
      </c>
    </row>
    <row r="40" spans="1:2" x14ac:dyDescent="0.25">
      <c r="A40" s="56">
        <v>36</v>
      </c>
      <c r="B40" s="57">
        <v>8427.8862613446672</v>
      </c>
    </row>
    <row r="41" spans="1:2" x14ac:dyDescent="0.25">
      <c r="A41" s="56">
        <v>37</v>
      </c>
      <c r="B41" s="57">
        <v>8702.0516604445002</v>
      </c>
    </row>
    <row r="42" spans="1:2" x14ac:dyDescent="0.25">
      <c r="A42" s="56">
        <v>38</v>
      </c>
      <c r="B42" s="57">
        <v>8978.6297150564114</v>
      </c>
    </row>
    <row r="43" spans="1:2" x14ac:dyDescent="0.25">
      <c r="A43" s="56">
        <v>39</v>
      </c>
      <c r="B43" s="57">
        <v>9257.6416565489071</v>
      </c>
    </row>
    <row r="44" spans="1:2" x14ac:dyDescent="0.25">
      <c r="A44" s="56">
        <v>40</v>
      </c>
      <c r="B44" s="57">
        <v>9539.1089031265383</v>
      </c>
    </row>
    <row r="45" spans="1:2" x14ac:dyDescent="0.25">
      <c r="A45" s="56">
        <v>41</v>
      </c>
      <c r="B45" s="57">
        <v>9823.053061474051</v>
      </c>
    </row>
    <row r="46" spans="1:2" x14ac:dyDescent="0.25">
      <c r="A46" s="56">
        <v>42</v>
      </c>
      <c r="B46" s="57">
        <v>10109.495928415023</v>
      </c>
    </row>
    <row r="47" spans="1:2" x14ac:dyDescent="0.25">
      <c r="A47" s="56">
        <v>43</v>
      </c>
      <c r="B47" s="57">
        <v>10398.459492585074</v>
      </c>
    </row>
    <row r="48" spans="1:2" x14ac:dyDescent="0.25">
      <c r="A48" s="56">
        <v>44</v>
      </c>
      <c r="B48" s="57">
        <v>10689.965936119823</v>
      </c>
    </row>
    <row r="49" spans="1:2" x14ac:dyDescent="0.25">
      <c r="A49" s="56">
        <v>45</v>
      </c>
      <c r="B49" s="57">
        <v>10984.037636357678</v>
      </c>
    </row>
    <row r="50" spans="1:2" x14ac:dyDescent="0.25">
      <c r="A50" s="56">
        <v>46</v>
      </c>
      <c r="B50" s="57">
        <v>11280.697167557626</v>
      </c>
    </row>
    <row r="51" spans="1:2" x14ac:dyDescent="0.25">
      <c r="A51" s="56">
        <v>47</v>
      </c>
      <c r="B51" s="57">
        <v>11579.967302632132</v>
      </c>
    </row>
    <row r="52" spans="1:2" x14ac:dyDescent="0.25">
      <c r="A52" s="56">
        <v>48</v>
      </c>
      <c r="B52" s="57">
        <v>11881.871014895296</v>
      </c>
    </row>
    <row r="53" spans="1:2" x14ac:dyDescent="0.25">
      <c r="A53" s="56">
        <v>49</v>
      </c>
      <c r="B53" s="57">
        <v>12186.431479826375</v>
      </c>
    </row>
    <row r="54" spans="1:2" x14ac:dyDescent="0.25">
      <c r="A54" s="56">
        <v>50</v>
      </c>
      <c r="B54" s="57">
        <v>12493.672076848847</v>
      </c>
    </row>
    <row r="55" spans="1:2" x14ac:dyDescent="0.25">
      <c r="A55" s="56">
        <v>51</v>
      </c>
      <c r="B55" s="57">
        <v>12803.616391125117</v>
      </c>
    </row>
    <row r="56" spans="1:2" x14ac:dyDescent="0.25">
      <c r="A56" s="56">
        <v>52</v>
      </c>
      <c r="B56" s="57">
        <v>13116.288215367018</v>
      </c>
    </row>
    <row r="57" spans="1:2" x14ac:dyDescent="0.25">
      <c r="A57" s="56">
        <v>53</v>
      </c>
      <c r="B57" s="57">
        <v>13431.711551662247</v>
      </c>
    </row>
    <row r="58" spans="1:2" x14ac:dyDescent="0.25">
      <c r="A58" s="56">
        <v>54</v>
      </c>
      <c r="B58" s="57">
        <v>13749.910613316875</v>
      </c>
    </row>
    <row r="59" spans="1:2" x14ac:dyDescent="0.25">
      <c r="A59" s="56">
        <v>55</v>
      </c>
      <c r="B59" s="57">
        <v>14070.909826714063</v>
      </c>
    </row>
    <row r="60" spans="1:2" x14ac:dyDescent="0.25">
      <c r="A60" s="56">
        <v>56</v>
      </c>
      <c r="B60" s="57">
        <v>14394.733833189148</v>
      </c>
    </row>
    <row r="61" spans="1:2" x14ac:dyDescent="0.25">
      <c r="A61" s="56">
        <v>57</v>
      </c>
      <c r="B61" s="57">
        <v>14721.407490921212</v>
      </c>
    </row>
    <row r="62" spans="1:2" x14ac:dyDescent="0.25">
      <c r="A62" s="56">
        <v>58</v>
      </c>
      <c r="B62" s="57">
        <v>15050.955876841319</v>
      </c>
    </row>
    <row r="63" spans="1:2" x14ac:dyDescent="0.25">
      <c r="A63" s="56">
        <v>59</v>
      </c>
      <c r="B63" s="57">
        <v>15383.404288557522</v>
      </c>
    </row>
    <row r="64" spans="1:2" x14ac:dyDescent="0.25">
      <c r="A64" s="56">
        <v>60</v>
      </c>
      <c r="B64" s="57">
        <v>15718.778246296828</v>
      </c>
    </row>
    <row r="65" spans="1:2" x14ac:dyDescent="0.25">
      <c r="A65" s="56">
        <v>61</v>
      </c>
      <c r="B65" s="57">
        <v>16057.103494864241</v>
      </c>
    </row>
    <row r="66" spans="1:2" x14ac:dyDescent="0.25">
      <c r="A66" s="56">
        <v>62</v>
      </c>
      <c r="B66" s="57">
        <v>16398.406005619046</v>
      </c>
    </row>
    <row r="67" spans="1:2" x14ac:dyDescent="0.25">
      <c r="A67" s="56">
        <v>63</v>
      </c>
      <c r="B67" s="57">
        <v>16742.711978468495</v>
      </c>
    </row>
    <row r="68" spans="1:2" x14ac:dyDescent="0.25">
      <c r="A68" s="56">
        <v>64</v>
      </c>
      <c r="B68" s="57">
        <v>17090.047843879016</v>
      </c>
    </row>
    <row r="69" spans="1:2" x14ac:dyDescent="0.25">
      <c r="A69" s="56">
        <v>65</v>
      </c>
      <c r="B69" s="57">
        <v>17440.440264905152</v>
      </c>
    </row>
    <row r="70" spans="1:2" x14ac:dyDescent="0.25">
      <c r="A70" s="56">
        <v>66</v>
      </c>
      <c r="B70" s="57">
        <v>17793.916139236317</v>
      </c>
    </row>
    <row r="71" spans="1:2" x14ac:dyDescent="0.25">
      <c r="A71" s="56">
        <v>67</v>
      </c>
      <c r="B71" s="57">
        <v>18150.502601261596</v>
      </c>
    </row>
    <row r="72" spans="1:2" x14ac:dyDescent="0.25">
      <c r="A72" s="56">
        <v>68</v>
      </c>
      <c r="B72" s="57">
        <v>18510.227024152697</v>
      </c>
    </row>
    <row r="73" spans="1:2" x14ac:dyDescent="0.25">
      <c r="A73" s="56">
        <v>69</v>
      </c>
      <c r="B73" s="57">
        <v>18873.117021965241</v>
      </c>
    </row>
    <row r="74" spans="1:2" x14ac:dyDescent="0.25">
      <c r="A74" s="56">
        <v>70</v>
      </c>
      <c r="B74" s="57">
        <v>19239.200451758534</v>
      </c>
    </row>
    <row r="75" spans="1:2" x14ac:dyDescent="0.25">
      <c r="A75" s="56">
        <v>71</v>
      </c>
      <c r="B75" s="57">
        <v>19608.505415734009</v>
      </c>
    </row>
    <row r="76" spans="1:2" x14ac:dyDescent="0.25">
      <c r="A76" s="56">
        <v>72</v>
      </c>
      <c r="B76" s="57">
        <v>19981.060263392468</v>
      </c>
    </row>
    <row r="77" spans="1:2" x14ac:dyDescent="0.25">
      <c r="A77" s="56">
        <v>73</v>
      </c>
      <c r="B77" s="57">
        <v>20356.893593710323</v>
      </c>
    </row>
    <row r="78" spans="1:2" x14ac:dyDescent="0.25">
      <c r="A78" s="56">
        <v>74</v>
      </c>
      <c r="B78" s="57">
        <v>20736.034257334974</v>
      </c>
    </row>
    <row r="79" spans="1:2" x14ac:dyDescent="0.25">
      <c r="A79" s="56">
        <v>75</v>
      </c>
      <c r="B79" s="57">
        <v>21118.511358799522</v>
      </c>
    </row>
    <row r="80" spans="1:2" x14ac:dyDescent="0.25">
      <c r="A80" s="56">
        <v>76</v>
      </c>
      <c r="B80" s="57">
        <v>21504.354258756957</v>
      </c>
    </row>
    <row r="81" spans="1:2" x14ac:dyDescent="0.25">
      <c r="A81" s="56">
        <v>77</v>
      </c>
      <c r="B81" s="57">
        <v>21893.592576234019</v>
      </c>
    </row>
    <row r="82" spans="1:2" x14ac:dyDescent="0.25">
      <c r="A82" s="56">
        <v>78</v>
      </c>
      <c r="B82" s="57">
        <v>22286.256190904878</v>
      </c>
    </row>
    <row r="83" spans="1:2" x14ac:dyDescent="0.25">
      <c r="A83" s="56">
        <v>79</v>
      </c>
      <c r="B83" s="57">
        <v>22682.375245384843</v>
      </c>
    </row>
    <row r="84" spans="1:2" x14ac:dyDescent="0.25">
      <c r="A84" s="56">
        <v>80</v>
      </c>
      <c r="B84" s="57">
        <v>23081.980147544229</v>
      </c>
    </row>
    <row r="85" spans="1:2" x14ac:dyDescent="0.25">
      <c r="A85" s="56">
        <v>81</v>
      </c>
      <c r="B85" s="57">
        <v>23485.101572842617</v>
      </c>
    </row>
    <row r="86" spans="1:2" x14ac:dyDescent="0.25">
      <c r="A86" s="56">
        <v>82</v>
      </c>
      <c r="B86" s="57">
        <v>23891.770466683633</v>
      </c>
    </row>
    <row r="87" spans="1:2" x14ac:dyDescent="0.25">
      <c r="A87" s="56">
        <v>83</v>
      </c>
      <c r="B87" s="57">
        <v>24302.01804679045</v>
      </c>
    </row>
    <row r="88" spans="1:2" x14ac:dyDescent="0.25">
      <c r="A88" s="56">
        <v>84</v>
      </c>
      <c r="B88" s="57">
        <v>24715.875805602205</v>
      </c>
    </row>
    <row r="89" spans="1:2" x14ac:dyDescent="0.25">
      <c r="A89" s="56">
        <v>85</v>
      </c>
      <c r="B89" s="57">
        <v>25133.375512691506</v>
      </c>
    </row>
    <row r="90" spans="1:2" x14ac:dyDescent="0.25">
      <c r="A90" s="56">
        <v>86</v>
      </c>
      <c r="B90" s="57">
        <v>25554.549217203192</v>
      </c>
    </row>
    <row r="91" spans="1:2" x14ac:dyDescent="0.25">
      <c r="A91" s="56">
        <v>87</v>
      </c>
      <c r="B91" s="57">
        <v>25979.429250314581</v>
      </c>
    </row>
    <row r="92" spans="1:2" x14ac:dyDescent="0.25">
      <c r="A92" s="56">
        <v>88</v>
      </c>
      <c r="B92" s="57">
        <v>26408.048227717351</v>
      </c>
    </row>
    <row r="93" spans="1:2" x14ac:dyDescent="0.25">
      <c r="A93" s="56">
        <v>89</v>
      </c>
      <c r="B93" s="57">
        <v>26840.439052121263</v>
      </c>
    </row>
    <row r="94" spans="1:2" x14ac:dyDescent="0.25">
      <c r="A94" s="56">
        <v>90</v>
      </c>
      <c r="B94" s="57">
        <v>27276.63491577993</v>
      </c>
    </row>
    <row r="95" spans="1:2" x14ac:dyDescent="0.25">
      <c r="A95" s="56">
        <v>91</v>
      </c>
      <c r="B95" s="57">
        <v>27716.669303038794</v>
      </c>
    </row>
    <row r="96" spans="1:2" x14ac:dyDescent="0.25">
      <c r="A96" s="56">
        <v>92</v>
      </c>
      <c r="B96" s="57">
        <v>28160.575992905535</v>
      </c>
    </row>
    <row r="97" spans="1:2" x14ac:dyDescent="0.25">
      <c r="A97" s="56">
        <v>93</v>
      </c>
      <c r="B97" s="57">
        <v>28608.389061643102</v>
      </c>
    </row>
    <row r="98" spans="1:2" x14ac:dyDescent="0.25">
      <c r="A98" s="56">
        <v>94</v>
      </c>
      <c r="B98" s="57">
        <v>29060.142885385561</v>
      </c>
    </row>
    <row r="99" spans="1:2" x14ac:dyDescent="0.25">
      <c r="A99" s="56">
        <v>95</v>
      </c>
      <c r="B99" s="57">
        <v>29515.872142776956</v>
      </c>
    </row>
    <row r="100" spans="1:2" x14ac:dyDescent="0.25">
      <c r="A100" s="56">
        <v>96</v>
      </c>
      <c r="B100" s="57">
        <v>29975.611817633395</v>
      </c>
    </row>
    <row r="101" spans="1:2" x14ac:dyDescent="0.25">
      <c r="A101" s="56">
        <v>97</v>
      </c>
      <c r="B101" s="57">
        <v>30439.39720162857</v>
      </c>
    </row>
    <row r="102" spans="1:2" x14ac:dyDescent="0.25">
      <c r="A102" s="56">
        <v>98</v>
      </c>
      <c r="B102" s="57">
        <v>30907.2638970029</v>
      </c>
    </row>
    <row r="103" spans="1:2" x14ac:dyDescent="0.25">
      <c r="A103" s="56">
        <v>99</v>
      </c>
      <c r="B103" s="57">
        <v>31379.247819296525</v>
      </c>
    </row>
    <row r="104" spans="1:2" x14ac:dyDescent="0.25">
      <c r="A104" s="56">
        <v>100</v>
      </c>
      <c r="B104" s="57">
        <v>31855.385200106335</v>
      </c>
    </row>
    <row r="105" spans="1:2" x14ac:dyDescent="0.25">
      <c r="A105" s="56">
        <v>101</v>
      </c>
      <c r="B105" s="57">
        <v>32335.712589867271</v>
      </c>
    </row>
    <row r="106" spans="1:2" x14ac:dyDescent="0.25">
      <c r="A106" s="56">
        <v>102</v>
      </c>
      <c r="B106" s="57">
        <v>32820.266860658099</v>
      </c>
    </row>
    <row r="107" spans="1:2" x14ac:dyDescent="0.25">
      <c r="A107" s="56">
        <v>103</v>
      </c>
      <c r="B107" s="57">
        <v>33309.085209031888</v>
      </c>
    </row>
    <row r="108" spans="1:2" x14ac:dyDescent="0.25">
      <c r="A108" s="56">
        <v>104</v>
      </c>
      <c r="B108" s="57">
        <v>33802.205158871366</v>
      </c>
    </row>
    <row r="109" spans="1:2" x14ac:dyDescent="0.25">
      <c r="A109" s="56">
        <v>105</v>
      </c>
      <c r="B109" s="57">
        <v>34299.664564269435</v>
      </c>
    </row>
    <row r="110" spans="1:2" x14ac:dyDescent="0.25">
      <c r="A110" s="56">
        <v>106</v>
      </c>
      <c r="B110" s="57">
        <v>34801.501612435008</v>
      </c>
    </row>
    <row r="111" spans="1:2" x14ac:dyDescent="0.25">
      <c r="A111" s="56">
        <v>107</v>
      </c>
      <c r="B111" s="57">
        <v>35307.754826624434</v>
      </c>
    </row>
    <row r="112" spans="1:2" x14ac:dyDescent="0.25">
      <c r="A112" s="56">
        <v>108</v>
      </c>
      <c r="B112" s="57">
        <v>35818.463069098732</v>
      </c>
    </row>
    <row r="113" spans="1:2" x14ac:dyDescent="0.25">
      <c r="A113" s="56">
        <v>109</v>
      </c>
      <c r="B113" s="57">
        <v>36333.6655441068</v>
      </c>
    </row>
    <row r="114" spans="1:2" x14ac:dyDescent="0.25">
      <c r="A114" s="56">
        <v>110</v>
      </c>
      <c r="B114" s="57">
        <v>36853.401800894942</v>
      </c>
    </row>
    <row r="115" spans="1:2" x14ac:dyDescent="0.25">
      <c r="A115" s="56">
        <v>111</v>
      </c>
      <c r="B115" s="57">
        <v>37377.711736742815</v>
      </c>
    </row>
    <row r="116" spans="1:2" x14ac:dyDescent="0.25">
      <c r="A116" s="56">
        <v>112</v>
      </c>
      <c r="B116" s="57">
        <v>37906.635600026151</v>
      </c>
    </row>
    <row r="117" spans="1:2" x14ac:dyDescent="0.25">
      <c r="A117" s="56">
        <v>113</v>
      </c>
      <c r="B117" s="57">
        <v>38440.213993306381</v>
      </c>
    </row>
    <row r="118" spans="1:2" x14ac:dyDescent="0.25">
      <c r="A118" s="56">
        <v>114</v>
      </c>
      <c r="B118" s="57">
        <v>38978.487876447478</v>
      </c>
    </row>
    <row r="119" spans="1:2" x14ac:dyDescent="0.25">
      <c r="A119" s="56">
        <v>115</v>
      </c>
      <c r="B119" s="57">
        <v>39521.498569760217</v>
      </c>
    </row>
    <row r="120" spans="1:2" x14ac:dyDescent="0.25">
      <c r="A120" s="56">
        <v>116</v>
      </c>
      <c r="B120" s="57">
        <v>40069.287757174105</v>
      </c>
    </row>
    <row r="121" spans="1:2" x14ac:dyDescent="0.25">
      <c r="A121" s="56">
        <v>117</v>
      </c>
      <c r="B121" s="57">
        <v>40621.897489437237</v>
      </c>
    </row>
    <row r="122" spans="1:2" x14ac:dyDescent="0.25">
      <c r="A122" s="56">
        <v>118</v>
      </c>
      <c r="B122" s="57">
        <v>41179.370187344284</v>
      </c>
    </row>
    <row r="123" spans="1:2" x14ac:dyDescent="0.25">
      <c r="A123" s="56">
        <v>119</v>
      </c>
      <c r="B123" s="57">
        <v>41741.748644992913</v>
      </c>
    </row>
    <row r="124" spans="1:2" x14ac:dyDescent="0.25">
      <c r="A124" s="56">
        <v>120</v>
      </c>
      <c r="B124" s="57">
        <v>42309.07603306885</v>
      </c>
    </row>
    <row r="125" spans="1:2" x14ac:dyDescent="0.25">
      <c r="A125" s="56">
        <v>121</v>
      </c>
      <c r="B125" s="57">
        <v>42881.395902159857</v>
      </c>
    </row>
    <row r="126" spans="1:2" x14ac:dyDescent="0.25">
      <c r="A126" s="56">
        <v>122</v>
      </c>
      <c r="B126" s="57">
        <v>43458.752186098864</v>
      </c>
    </row>
    <row r="127" spans="1:2" x14ac:dyDescent="0.25">
      <c r="A127" s="56">
        <v>123</v>
      </c>
      <c r="B127" s="57">
        <v>44041.18920533653</v>
      </c>
    </row>
    <row r="128" spans="1:2" x14ac:dyDescent="0.25">
      <c r="A128" s="56">
        <v>124</v>
      </c>
      <c r="B128" s="57">
        <v>44628.751670343489</v>
      </c>
    </row>
    <row r="129" spans="1:2" x14ac:dyDescent="0.25">
      <c r="A129" s="56">
        <v>125</v>
      </c>
      <c r="B129" s="57">
        <v>45221.484685042509</v>
      </c>
    </row>
    <row r="130" spans="1:2" x14ac:dyDescent="0.25">
      <c r="A130" s="56">
        <v>126</v>
      </c>
      <c r="B130" s="57">
        <v>45819.43375027088</v>
      </c>
    </row>
    <row r="131" spans="1:2" x14ac:dyDescent="0.25">
      <c r="A131" s="56">
        <v>127</v>
      </c>
      <c r="B131" s="57">
        <v>46422.644767273261</v>
      </c>
    </row>
    <row r="132" spans="1:2" x14ac:dyDescent="0.25">
      <c r="A132" s="56">
        <v>128</v>
      </c>
      <c r="B132" s="57">
        <v>47031.164041225267</v>
      </c>
    </row>
    <row r="133" spans="1:2" x14ac:dyDescent="0.25">
      <c r="A133" s="56">
        <v>129</v>
      </c>
      <c r="B133" s="57">
        <v>47645.038284788046</v>
      </c>
    </row>
    <row r="134" spans="1:2" x14ac:dyDescent="0.25">
      <c r="A134" s="56">
        <v>130</v>
      </c>
      <c r="B134" s="57">
        <v>48264.314621694182</v>
      </c>
    </row>
    <row r="135" spans="1:2" x14ac:dyDescent="0.25">
      <c r="A135" s="56">
        <v>131</v>
      </c>
      <c r="B135" s="57">
        <v>48889.04059036509</v>
      </c>
    </row>
    <row r="136" spans="1:2" x14ac:dyDescent="0.25">
      <c r="A136" s="56">
        <v>132</v>
      </c>
      <c r="B136" s="57">
        <v>49519.264147560301</v>
      </c>
    </row>
    <row r="137" spans="1:2" x14ac:dyDescent="0.25">
      <c r="A137" s="56">
        <v>133</v>
      </c>
      <c r="B137" s="57">
        <v>50155.033672058831</v>
      </c>
    </row>
    <row r="138" spans="1:2" x14ac:dyDescent="0.25">
      <c r="A138" s="56">
        <v>134</v>
      </c>
      <c r="B138" s="57">
        <v>50796.397968372949</v>
      </c>
    </row>
    <row r="139" spans="1:2" x14ac:dyDescent="0.25">
      <c r="A139" s="56">
        <v>135</v>
      </c>
      <c r="B139" s="57">
        <v>51443.406270494634</v>
      </c>
    </row>
    <row r="140" spans="1:2" x14ac:dyDescent="0.25">
      <c r="A140" s="56">
        <v>136</v>
      </c>
      <c r="B140" s="57">
        <v>52096.108245674986</v>
      </c>
    </row>
    <row r="141" spans="1:2" x14ac:dyDescent="0.25">
      <c r="A141" s="56">
        <v>137</v>
      </c>
      <c r="B141" s="57">
        <v>52754.553998236923</v>
      </c>
    </row>
    <row r="142" spans="1:2" x14ac:dyDescent="0.25">
      <c r="A142" s="56">
        <v>138</v>
      </c>
      <c r="B142" s="57">
        <v>53418.794073421406</v>
      </c>
    </row>
    <row r="143" spans="1:2" x14ac:dyDescent="0.25">
      <c r="A143" s="56">
        <v>139</v>
      </c>
      <c r="B143" s="57">
        <v>54088.879461267512</v>
      </c>
    </row>
    <row r="144" spans="1:2" x14ac:dyDescent="0.25">
      <c r="A144" s="56">
        <v>140</v>
      </c>
      <c r="B144" s="57">
        <v>54764.861600526667</v>
      </c>
    </row>
    <row r="145" spans="1:2" x14ac:dyDescent="0.25">
      <c r="A145" s="56">
        <v>141</v>
      </c>
      <c r="B145" s="57">
        <v>55446.792382611304</v>
      </c>
    </row>
    <row r="146" spans="1:2" x14ac:dyDescent="0.25">
      <c r="A146" s="56">
        <v>142</v>
      </c>
      <c r="B146" s="57">
        <v>56134.724155578282</v>
      </c>
    </row>
    <row r="147" spans="1:2" x14ac:dyDescent="0.25">
      <c r="A147" s="56">
        <v>143</v>
      </c>
      <c r="B147" s="57">
        <v>56828.709728147369</v>
      </c>
    </row>
    <row r="148" spans="1:2" x14ac:dyDescent="0.25">
      <c r="A148" s="56">
        <v>144</v>
      </c>
      <c r="B148" s="57">
        <v>57528.802373755068</v>
      </c>
    </row>
    <row r="149" spans="1:2" x14ac:dyDescent="0.25">
      <c r="A149" s="56">
        <v>145</v>
      </c>
      <c r="B149" s="57">
        <v>58235.05583464411</v>
      </c>
    </row>
    <row r="150" spans="1:2" x14ac:dyDescent="0.25">
      <c r="A150" s="56">
        <v>146</v>
      </c>
      <c r="B150" s="57">
        <v>58947.524325988976</v>
      </c>
    </row>
    <row r="151" spans="1:2" x14ac:dyDescent="0.25">
      <c r="A151" s="56">
        <v>147</v>
      </c>
      <c r="B151" s="57">
        <v>59666.26254005768</v>
      </c>
    </row>
    <row r="152" spans="1:2" x14ac:dyDescent="0.25">
      <c r="A152" s="56">
        <v>148</v>
      </c>
      <c r="B152" s="57">
        <v>60391.325650410188</v>
      </c>
    </row>
    <row r="153" spans="1:2" x14ac:dyDescent="0.25">
      <c r="A153" s="56">
        <v>149</v>
      </c>
      <c r="B153" s="57">
        <v>61122.769316133796</v>
      </c>
    </row>
    <row r="154" spans="1:2" x14ac:dyDescent="0.25">
      <c r="A154" s="56">
        <v>150</v>
      </c>
      <c r="B154" s="57">
        <v>61860.649686115772</v>
      </c>
    </row>
    <row r="155" spans="1:2" x14ac:dyDescent="0.25">
      <c r="A155" s="56">
        <v>151</v>
      </c>
      <c r="B155" s="57">
        <v>62605.023403353589</v>
      </c>
    </row>
    <row r="156" spans="1:2" x14ac:dyDescent="0.25">
      <c r="A156" s="56">
        <v>152</v>
      </c>
      <c r="B156" s="57">
        <v>63355.947609303097</v>
      </c>
    </row>
    <row r="157" spans="1:2" x14ac:dyDescent="0.25">
      <c r="A157" s="56">
        <v>153</v>
      </c>
      <c r="B157" s="57">
        <v>64113.479948264961</v>
      </c>
    </row>
    <row r="158" spans="1:2" x14ac:dyDescent="0.25">
      <c r="A158" s="56">
        <v>154</v>
      </c>
      <c r="B158" s="57">
        <v>64877.678571809694</v>
      </c>
    </row>
    <row r="159" spans="1:2" x14ac:dyDescent="0.25">
      <c r="A159" s="56">
        <v>155</v>
      </c>
      <c r="B159" s="57">
        <v>65648.602143241616</v>
      </c>
    </row>
    <row r="160" spans="1:2" x14ac:dyDescent="0.25">
      <c r="A160" s="56">
        <v>156</v>
      </c>
      <c r="B160" s="57">
        <v>66426.309842102142</v>
      </c>
    </row>
    <row r="161" spans="1:2" x14ac:dyDescent="0.25">
      <c r="A161" s="56">
        <v>157</v>
      </c>
      <c r="B161" s="57">
        <v>67210.861368712634</v>
      </c>
    </row>
    <row r="162" spans="1:2" x14ac:dyDescent="0.25">
      <c r="A162" s="56">
        <v>158</v>
      </c>
      <c r="B162" s="57">
        <v>68002.316948757303</v>
      </c>
    </row>
    <row r="163" spans="1:2" x14ac:dyDescent="0.25">
      <c r="A163" s="56">
        <v>159</v>
      </c>
      <c r="B163" s="57">
        <v>68800.737337906365</v>
      </c>
    </row>
    <row r="164" spans="1:2" x14ac:dyDescent="0.25">
      <c r="A164" s="56">
        <v>160</v>
      </c>
      <c r="B164" s="57">
        <v>69606.183826479944</v>
      </c>
    </row>
    <row r="165" spans="1:2" x14ac:dyDescent="0.25">
      <c r="A165" s="56">
        <v>161</v>
      </c>
      <c r="B165" s="57">
        <v>70418.718244152973</v>
      </c>
    </row>
    <row r="166" spans="1:2" x14ac:dyDescent="0.25">
      <c r="A166" s="56">
        <v>162</v>
      </c>
      <c r="B166" s="57">
        <v>71238.402964701512</v>
      </c>
    </row>
    <row r="167" spans="1:2" x14ac:dyDescent="0.25">
      <c r="A167" s="56">
        <v>163</v>
      </c>
      <c r="B167" s="57">
        <v>72065.300910790887</v>
      </c>
    </row>
    <row r="168" spans="1:2" x14ac:dyDescent="0.25">
      <c r="A168" s="56">
        <v>164</v>
      </c>
      <c r="B168" s="57">
        <v>72899.475558805847</v>
      </c>
    </row>
    <row r="169" spans="1:2" x14ac:dyDescent="0.25">
      <c r="A169" s="56">
        <v>165</v>
      </c>
      <c r="B169" s="57">
        <v>73740.990943723344</v>
      </c>
    </row>
    <row r="170" spans="1:2" x14ac:dyDescent="0.25">
      <c r="A170" s="56">
        <v>166</v>
      </c>
      <c r="B170" s="57">
        <v>74589.911664028114</v>
      </c>
    </row>
    <row r="171" spans="1:2" x14ac:dyDescent="0.25">
      <c r="A171" s="56">
        <v>167</v>
      </c>
      <c r="B171" s="57">
        <v>75446.302886671561</v>
      </c>
    </row>
    <row r="172" spans="1:2" x14ac:dyDescent="0.25">
      <c r="A172" s="56">
        <v>168</v>
      </c>
      <c r="B172" s="57">
        <v>76310.230352074272</v>
      </c>
    </row>
    <row r="173" spans="1:2" x14ac:dyDescent="0.25">
      <c r="A173" s="56">
        <v>169</v>
      </c>
      <c r="B173" s="57">
        <v>77181.760379172527</v>
      </c>
    </row>
    <row r="174" spans="1:2" x14ac:dyDescent="0.25">
      <c r="A174" s="56">
        <v>170</v>
      </c>
      <c r="B174" s="57">
        <v>78060.95987050925</v>
      </c>
    </row>
    <row r="175" spans="1:2" x14ac:dyDescent="0.25">
      <c r="A175" s="56">
        <v>171</v>
      </c>
      <c r="B175" s="57">
        <v>78947.896317369727</v>
      </c>
    </row>
    <row r="176" spans="1:2" x14ac:dyDescent="0.25">
      <c r="A176" s="56">
        <v>172</v>
      </c>
      <c r="B176" s="57">
        <v>79842.637804962578</v>
      </c>
    </row>
    <row r="177" spans="1:2" x14ac:dyDescent="0.25">
      <c r="A177" s="56">
        <v>173</v>
      </c>
      <c r="B177" s="57">
        <v>80745.253017646246</v>
      </c>
    </row>
    <row r="178" spans="1:2" x14ac:dyDescent="0.25">
      <c r="A178" s="56">
        <v>174</v>
      </c>
      <c r="B178" s="57">
        <v>81655.811244201526</v>
      </c>
    </row>
    <row r="179" spans="1:2" x14ac:dyDescent="0.25">
      <c r="A179" s="56">
        <v>175</v>
      </c>
      <c r="B179" s="57">
        <v>82574.3823831505</v>
      </c>
    </row>
    <row r="180" spans="1:2" x14ac:dyDescent="0.25">
      <c r="A180" s="56">
        <v>176</v>
      </c>
      <c r="B180" s="57">
        <v>83501.03694812223</v>
      </c>
    </row>
    <row r="181" spans="1:2" x14ac:dyDescent="0.25">
      <c r="A181" s="56">
        <v>177</v>
      </c>
      <c r="B181" s="57">
        <v>84435.846073265711</v>
      </c>
    </row>
    <row r="182" spans="1:2" x14ac:dyDescent="0.25">
      <c r="A182" s="56">
        <v>178</v>
      </c>
      <c r="B182" s="57">
        <v>85378.881518710448</v>
      </c>
    </row>
    <row r="183" spans="1:2" x14ac:dyDescent="0.25">
      <c r="A183" s="56">
        <v>179</v>
      </c>
      <c r="B183" s="57">
        <v>86330.215676075095</v>
      </c>
    </row>
    <row r="184" spans="1:2" x14ac:dyDescent="0.25">
      <c r="A184" s="56">
        <v>180</v>
      </c>
      <c r="B184" s="57">
        <v>87289.921574024556</v>
      </c>
    </row>
    <row r="185" spans="1:2" x14ac:dyDescent="0.25">
      <c r="A185" s="56">
        <v>181</v>
      </c>
      <c r="B185" s="57">
        <v>88258.072883875968</v>
      </c>
    </row>
    <row r="186" spans="1:2" x14ac:dyDescent="0.25">
      <c r="A186" s="56">
        <v>182</v>
      </c>
      <c r="B186" s="57">
        <v>89234.743925254079</v>
      </c>
    </row>
    <row r="187" spans="1:2" x14ac:dyDescent="0.25">
      <c r="A187" s="56">
        <v>183</v>
      </c>
      <c r="B187" s="57">
        <v>90220.009671796317</v>
      </c>
    </row>
    <row r="188" spans="1:2" x14ac:dyDescent="0.25">
      <c r="A188" s="56">
        <v>184</v>
      </c>
      <c r="B188" s="57">
        <v>91213.945756908128</v>
      </c>
    </row>
    <row r="189" spans="1:2" x14ac:dyDescent="0.25">
      <c r="A189" s="56">
        <v>185</v>
      </c>
      <c r="B189" s="57">
        <v>92216.628479568913</v>
      </c>
    </row>
    <row r="190" spans="1:2" x14ac:dyDescent="0.25">
      <c r="A190" s="56">
        <v>186</v>
      </c>
      <c r="B190" s="57">
        <v>93228.13481018912</v>
      </c>
    </row>
    <row r="191" spans="1:2" x14ac:dyDescent="0.25">
      <c r="A191" s="56">
        <v>187</v>
      </c>
      <c r="B191" s="57">
        <v>94248.54239651878</v>
      </c>
    </row>
    <row r="192" spans="1:2" x14ac:dyDescent="0.25">
      <c r="A192" s="56">
        <v>188</v>
      </c>
      <c r="B192" s="57">
        <v>95277.929569608139</v>
      </c>
    </row>
    <row r="193" spans="1:2" x14ac:dyDescent="0.25">
      <c r="A193" s="56">
        <v>189</v>
      </c>
      <c r="B193" s="57">
        <v>96316.375349820693</v>
      </c>
    </row>
    <row r="194" spans="1:2" x14ac:dyDescent="0.25">
      <c r="A194" s="56">
        <v>190</v>
      </c>
      <c r="B194" s="57">
        <v>97363.959452899115</v>
      </c>
    </row>
    <row r="195" spans="1:2" x14ac:dyDescent="0.25">
      <c r="A195" s="56">
        <v>191</v>
      </c>
      <c r="B195" s="57">
        <v>98420.76229608462</v>
      </c>
    </row>
    <row r="196" spans="1:2" x14ac:dyDescent="0.25">
      <c r="A196" s="56">
        <v>192</v>
      </c>
      <c r="B196" s="57">
        <v>99486.865004290172</v>
      </c>
    </row>
    <row r="197" spans="1:2" x14ac:dyDescent="0.25">
      <c r="A197" s="56">
        <v>193</v>
      </c>
      <c r="B197" s="57">
        <v>100562.34941632792</v>
      </c>
    </row>
    <row r="198" spans="1:2" x14ac:dyDescent="0.25">
      <c r="A198" s="56">
        <v>194</v>
      </c>
      <c r="B198" s="57">
        <v>101647.29809119161</v>
      </c>
    </row>
    <row r="199" spans="1:2" x14ac:dyDescent="0.25">
      <c r="A199" s="56">
        <v>195</v>
      </c>
      <c r="B199" s="57">
        <v>102741.79431439409</v>
      </c>
    </row>
    <row r="200" spans="1:2" x14ac:dyDescent="0.25">
      <c r="A200" s="56">
        <v>196</v>
      </c>
      <c r="B200" s="57">
        <v>103845.92210436077</v>
      </c>
    </row>
    <row r="201" spans="1:2" x14ac:dyDescent="0.25">
      <c r="A201" s="56">
        <v>197</v>
      </c>
      <c r="B201" s="57">
        <v>104959.76621887914</v>
      </c>
    </row>
    <row r="202" spans="1:2" x14ac:dyDescent="0.25">
      <c r="A202" s="56">
        <v>198</v>
      </c>
      <c r="B202" s="57">
        <v>106083.41216160529</v>
      </c>
    </row>
    <row r="203" spans="1:2" x14ac:dyDescent="0.25">
      <c r="A203" s="56">
        <v>199</v>
      </c>
      <c r="B203" s="57">
        <v>107216.94618862741</v>
      </c>
    </row>
    <row r="204" spans="1:2" x14ac:dyDescent="0.25">
      <c r="A204" s="56">
        <v>200</v>
      </c>
      <c r="B204" s="57">
        <v>108360.45531508733</v>
      </c>
    </row>
    <row r="205" spans="1:2" x14ac:dyDescent="0.25">
      <c r="A205" s="56">
        <v>201</v>
      </c>
      <c r="B205" s="57">
        <v>109514.02732186009</v>
      </c>
    </row>
    <row r="206" spans="1:2" x14ac:dyDescent="0.25">
      <c r="A206" s="56">
        <v>202</v>
      </c>
      <c r="B206" s="57">
        <v>110677.75076229246</v>
      </c>
    </row>
    <row r="207" spans="1:2" x14ac:dyDescent="0.25">
      <c r="A207" s="56">
        <v>203</v>
      </c>
      <c r="B207" s="57">
        <v>111851.71496900063</v>
      </c>
    </row>
    <row r="208" spans="1:2" x14ac:dyDescent="0.25">
      <c r="A208" s="56">
        <v>204</v>
      </c>
      <c r="B208" s="57">
        <v>113036.01006072784</v>
      </c>
    </row>
    <row r="209" spans="1:2" x14ac:dyDescent="0.25">
      <c r="A209" s="56">
        <v>205</v>
      </c>
      <c r="B209" s="57">
        <v>114230.72694926224</v>
      </c>
    </row>
    <row r="210" spans="1:2" x14ac:dyDescent="0.25">
      <c r="A210" s="56">
        <v>206</v>
      </c>
      <c r="B210" s="57">
        <v>115435.95734641576</v>
      </c>
    </row>
    <row r="211" spans="1:2" x14ac:dyDescent="0.25">
      <c r="A211" s="56">
        <v>207</v>
      </c>
      <c r="B211" s="57">
        <v>116651.79377106421</v>
      </c>
    </row>
    <row r="212" spans="1:2" x14ac:dyDescent="0.25">
      <c r="A212" s="56">
        <v>208</v>
      </c>
      <c r="B212" s="57">
        <v>117878.32955624958</v>
      </c>
    </row>
    <row r="213" spans="1:2" x14ac:dyDescent="0.25">
      <c r="A213" s="56">
        <v>209</v>
      </c>
      <c r="B213" s="57">
        <v>119115.65885634457</v>
      </c>
    </row>
    <row r="214" spans="1:2" x14ac:dyDescent="0.25">
      <c r="A214" s="56">
        <v>210</v>
      </c>
      <c r="B214" s="57">
        <v>120363.87665428041</v>
      </c>
    </row>
    <row r="215" spans="1:2" x14ac:dyDescent="0.25">
      <c r="A215" s="56">
        <v>211</v>
      </c>
      <c r="B215" s="57">
        <v>121623.07876883808</v>
      </c>
    </row>
    <row r="216" spans="1:2" x14ac:dyDescent="0.25">
      <c r="A216" s="56">
        <v>212</v>
      </c>
      <c r="B216" s="57">
        <v>122893.36186200386</v>
      </c>
    </row>
    <row r="217" spans="1:2" x14ac:dyDescent="0.25">
      <c r="A217" s="56">
        <v>213</v>
      </c>
      <c r="B217" s="57">
        <v>124174.82344638949</v>
      </c>
    </row>
    <row r="218" spans="1:2" x14ac:dyDescent="0.25">
      <c r="A218" s="56">
        <v>214</v>
      </c>
      <c r="B218" s="57">
        <v>125467.56189271771</v>
      </c>
    </row>
    <row r="219" spans="1:2" x14ac:dyDescent="0.25">
      <c r="A219" s="56">
        <v>215</v>
      </c>
      <c r="B219" s="57">
        <v>126771.67643737362</v>
      </c>
    </row>
    <row r="220" spans="1:2" x14ac:dyDescent="0.25">
      <c r="A220" s="56">
        <v>216</v>
      </c>
      <c r="B220" s="57">
        <v>128087.26719002251</v>
      </c>
    </row>
    <row r="221" spans="1:2" x14ac:dyDescent="0.25">
      <c r="A221" s="56">
        <v>217</v>
      </c>
      <c r="B221" s="57">
        <v>129414.43514129471</v>
      </c>
    </row>
    <row r="222" spans="1:2" x14ac:dyDescent="0.25">
      <c r="A222" s="56">
        <v>218</v>
      </c>
      <c r="B222" s="57">
        <v>130753.28217053811</v>
      </c>
    </row>
    <row r="223" spans="1:2" x14ac:dyDescent="0.25">
      <c r="A223" s="56">
        <v>219</v>
      </c>
      <c r="B223" s="57">
        <v>132103.91105363885</v>
      </c>
    </row>
    <row r="224" spans="1:2" x14ac:dyDescent="0.25">
      <c r="A224" s="56">
        <v>220</v>
      </c>
      <c r="B224" s="57">
        <v>133466.42547091088</v>
      </c>
    </row>
    <row r="225" spans="1:2" x14ac:dyDescent="0.25">
      <c r="A225" s="56">
        <v>221</v>
      </c>
      <c r="B225" s="57">
        <v>134840.93001505488</v>
      </c>
    </row>
    <row r="226" spans="1:2" x14ac:dyDescent="0.25">
      <c r="A226" s="56">
        <v>222</v>
      </c>
      <c r="B226" s="57">
        <v>136227.53019918737</v>
      </c>
    </row>
    <row r="227" spans="1:2" x14ac:dyDescent="0.25">
      <c r="A227" s="56">
        <v>223</v>
      </c>
      <c r="B227" s="57">
        <v>137626.33246494021</v>
      </c>
    </row>
    <row r="228" spans="1:2" x14ac:dyDescent="0.25">
      <c r="A228" s="56">
        <v>224</v>
      </c>
      <c r="B228" s="57">
        <v>139037.44419063168</v>
      </c>
    </row>
    <row r="229" spans="1:2" x14ac:dyDescent="0.25">
      <c r="A229" s="56">
        <v>225</v>
      </c>
      <c r="B229" s="57">
        <v>140460.97369950922</v>
      </c>
    </row>
    <row r="230" spans="1:2" x14ac:dyDescent="0.25">
      <c r="A230" s="56">
        <v>226</v>
      </c>
      <c r="B230" s="57">
        <v>141897.0302680649</v>
      </c>
    </row>
    <row r="231" spans="1:2" x14ac:dyDescent="0.25">
      <c r="A231" s="56">
        <v>227</v>
      </c>
      <c r="B231" s="57">
        <v>143345.72413442389</v>
      </c>
    </row>
    <row r="232" spans="1:2" x14ac:dyDescent="0.25">
      <c r="A232" s="56">
        <v>228</v>
      </c>
      <c r="B232" s="57">
        <v>144807.16650680683</v>
      </c>
    </row>
    <row r="233" spans="1:2" x14ac:dyDescent="0.25">
      <c r="A233" s="56">
        <v>229</v>
      </c>
      <c r="B233" s="57">
        <v>146281.46957206674</v>
      </c>
    </row>
    <row r="234" spans="1:2" x14ac:dyDescent="0.25">
      <c r="A234" s="56">
        <v>230</v>
      </c>
      <c r="B234" s="57">
        <v>147768.74650430091</v>
      </c>
    </row>
    <row r="235" spans="1:2" x14ac:dyDescent="0.25">
      <c r="A235" s="56">
        <v>231</v>
      </c>
      <c r="B235" s="57">
        <v>149269.11147353877</v>
      </c>
    </row>
    <row r="236" spans="1:2" x14ac:dyDescent="0.25">
      <c r="A236" s="56">
        <v>232</v>
      </c>
      <c r="B236" s="57">
        <v>150782.67965450592</v>
      </c>
    </row>
    <row r="237" spans="1:2" x14ac:dyDescent="0.25">
      <c r="A237" s="56">
        <v>233</v>
      </c>
      <c r="B237" s="57">
        <v>152309.56723546557</v>
      </c>
    </row>
    <row r="238" spans="1:2" x14ac:dyDescent="0.25">
      <c r="A238" s="56">
        <v>234</v>
      </c>
      <c r="B238" s="57">
        <v>153849.89142713766</v>
      </c>
    </row>
    <row r="239" spans="1:2" x14ac:dyDescent="0.25">
      <c r="A239" s="56">
        <v>235</v>
      </c>
      <c r="B239" s="57">
        <v>155403.77047169648</v>
      </c>
    </row>
    <row r="240" spans="1:2" x14ac:dyDescent="0.25">
      <c r="A240" s="56">
        <v>236</v>
      </c>
      <c r="B240" s="57">
        <v>156971.3236518474</v>
      </c>
    </row>
    <row r="241" spans="1:2" x14ac:dyDescent="0.25">
      <c r="A241" s="56">
        <v>237</v>
      </c>
      <c r="B241" s="57">
        <v>158552.67129998366</v>
      </c>
    </row>
    <row r="242" spans="1:2" x14ac:dyDescent="0.25">
      <c r="A242" s="56">
        <v>238</v>
      </c>
      <c r="B242" s="57">
        <v>160147.9348074235</v>
      </c>
    </row>
    <row r="243" spans="1:2" x14ac:dyDescent="0.25">
      <c r="A243" s="56">
        <v>239</v>
      </c>
      <c r="B243" s="57">
        <v>161757.23663372884</v>
      </c>
    </row>
    <row r="244" spans="1:2" x14ac:dyDescent="0.25">
      <c r="A244" s="56">
        <v>240</v>
      </c>
      <c r="B244" s="57">
        <v>163380.70031610565</v>
      </c>
    </row>
    <row r="245" spans="1:2" x14ac:dyDescent="0.25">
      <c r="A245" s="56">
        <v>241</v>
      </c>
      <c r="B245" s="57">
        <v>165018.45047888739</v>
      </c>
    </row>
    <row r="246" spans="1:2" x14ac:dyDescent="0.25">
      <c r="A246" s="56">
        <v>242</v>
      </c>
      <c r="B246" s="57">
        <v>166670.61284310161</v>
      </c>
    </row>
    <row r="247" spans="1:2" x14ac:dyDescent="0.25">
      <c r="A247" s="56">
        <v>243</v>
      </c>
      <c r="B247" s="57">
        <v>168337.3142361209</v>
      </c>
    </row>
    <row r="248" spans="1:2" x14ac:dyDescent="0.25">
      <c r="A248" s="56">
        <v>244</v>
      </c>
      <c r="B248" s="57">
        <v>170018.68260139876</v>
      </c>
    </row>
    <row r="249" spans="1:2" x14ac:dyDescent="0.25">
      <c r="A249" s="56">
        <v>245</v>
      </c>
      <c r="B249" s="57">
        <v>171714.84700829108</v>
      </c>
    </row>
    <row r="250" spans="1:2" x14ac:dyDescent="0.25">
      <c r="A250" s="56">
        <v>246</v>
      </c>
      <c r="B250" s="57">
        <v>173425.93766196404</v>
      </c>
    </row>
    <row r="251" spans="1:2" x14ac:dyDescent="0.25">
      <c r="A251" s="56">
        <v>247</v>
      </c>
      <c r="B251" s="57">
        <v>175152.08591338931</v>
      </c>
    </row>
    <row r="252" spans="1:2" x14ac:dyDescent="0.25">
      <c r="A252" s="56">
        <v>248</v>
      </c>
      <c r="B252" s="57">
        <v>176893.42426942714</v>
      </c>
    </row>
    <row r="253" spans="1:2" x14ac:dyDescent="0.25">
      <c r="A253" s="56">
        <v>249</v>
      </c>
      <c r="B253" s="57">
        <v>178650.0864029981</v>
      </c>
    </row>
    <row r="254" spans="1:2" x14ac:dyDescent="0.25">
      <c r="A254" s="56">
        <v>250</v>
      </c>
      <c r="B254" s="57">
        <v>180422.20716334449</v>
      </c>
    </row>
    <row r="255" spans="1:2" x14ac:dyDescent="0.25">
      <c r="A255" s="56">
        <v>251</v>
      </c>
      <c r="B255" s="57">
        <v>182209.92258638193</v>
      </c>
    </row>
    <row r="256" spans="1:2" x14ac:dyDescent="0.25">
      <c r="A256" s="56">
        <v>252</v>
      </c>
      <c r="B256" s="57">
        <v>184013.36990514208</v>
      </c>
    </row>
    <row r="257" spans="1:2" x14ac:dyDescent="0.25">
      <c r="A257" s="56">
        <v>253</v>
      </c>
      <c r="B257" s="57">
        <v>185832.68756030733</v>
      </c>
    </row>
    <row r="258" spans="1:2" x14ac:dyDescent="0.25">
      <c r="A258" s="56">
        <v>254</v>
      </c>
      <c r="B258" s="57">
        <v>187668.01521083803</v>
      </c>
    </row>
    <row r="259" spans="1:2" x14ac:dyDescent="0.25">
      <c r="A259" s="56">
        <v>255</v>
      </c>
      <c r="B259" s="57">
        <v>189519.49374469341</v>
      </c>
    </row>
    <row r="260" spans="1:2" x14ac:dyDescent="0.25">
      <c r="A260" s="56">
        <v>256</v>
      </c>
      <c r="B260" s="57">
        <v>191387.26528964672</v>
      </c>
    </row>
    <row r="261" spans="1:2" x14ac:dyDescent="0.25">
      <c r="A261" s="56">
        <v>257</v>
      </c>
      <c r="B261" s="57">
        <v>193271.47322419562</v>
      </c>
    </row>
    <row r="262" spans="1:2" x14ac:dyDescent="0.25">
      <c r="A262" s="56">
        <v>258</v>
      </c>
      <c r="B262" s="57">
        <v>195172.26218856854</v>
      </c>
    </row>
    <row r="263" spans="1:2" x14ac:dyDescent="0.25">
      <c r="A263" s="56">
        <v>259</v>
      </c>
      <c r="B263" s="57">
        <v>197089.77809582793</v>
      </c>
    </row>
    <row r="264" spans="1:2" x14ac:dyDescent="0.25">
      <c r="A264" s="56">
        <v>260</v>
      </c>
      <c r="B264" s="57">
        <v>199024.16814307121</v>
      </c>
    </row>
    <row r="265" spans="1:2" x14ac:dyDescent="0.25">
      <c r="A265" s="56">
        <v>261</v>
      </c>
      <c r="B265" s="57">
        <v>200975.58082273023</v>
      </c>
    </row>
    <row r="266" spans="1:2" x14ac:dyDescent="0.25">
      <c r="A266" s="56">
        <v>262</v>
      </c>
      <c r="B266" s="57">
        <v>202944.16593397025</v>
      </c>
    </row>
    <row r="267" spans="1:2" x14ac:dyDescent="0.25">
      <c r="A267" s="56">
        <v>263</v>
      </c>
      <c r="B267" s="57">
        <v>204930.07459418918</v>
      </c>
    </row>
    <row r="268" spans="1:2" x14ac:dyDescent="0.25">
      <c r="A268" s="56">
        <v>264</v>
      </c>
      <c r="B268" s="57">
        <v>206933.45925061803</v>
      </c>
    </row>
    <row r="269" spans="1:2" x14ac:dyDescent="0.25">
      <c r="A269" s="56">
        <v>265</v>
      </c>
      <c r="B269" s="57">
        <v>208954.47369202349</v>
      </c>
    </row>
    <row r="270" spans="1:2" x14ac:dyDescent="0.25">
      <c r="A270" s="56">
        <v>266</v>
      </c>
      <c r="B270" s="57">
        <v>210993.27306051328</v>
      </c>
    </row>
    <row r="271" spans="1:2" x14ac:dyDescent="0.25">
      <c r="A271" s="56">
        <v>267</v>
      </c>
      <c r="B271" s="57">
        <v>213050.01386344581</v>
      </c>
    </row>
    <row r="272" spans="1:2" x14ac:dyDescent="0.25">
      <c r="A272" s="56">
        <v>268</v>
      </c>
      <c r="B272" s="57">
        <v>215124.85398544415</v>
      </c>
    </row>
    <row r="273" spans="1:2" x14ac:dyDescent="0.25">
      <c r="A273" s="56">
        <v>269</v>
      </c>
      <c r="B273" s="57">
        <v>217217.95270051606</v>
      </c>
    </row>
    <row r="274" spans="1:2" x14ac:dyDescent="0.25">
      <c r="A274" s="56">
        <v>270</v>
      </c>
      <c r="B274" s="57">
        <v>219329.47068428062</v>
      </c>
    </row>
    <row r="275" spans="1:2" x14ac:dyDescent="0.25">
      <c r="A275" s="56">
        <v>271</v>
      </c>
      <c r="B275" s="57">
        <v>221459.5700263023</v>
      </c>
    </row>
    <row r="276" spans="1:2" x14ac:dyDescent="0.25">
      <c r="A276" s="56">
        <v>272</v>
      </c>
      <c r="B276" s="57">
        <v>223608.41424253376</v>
      </c>
    </row>
    <row r="277" spans="1:2" x14ac:dyDescent="0.25">
      <c r="A277" s="56">
        <v>273</v>
      </c>
      <c r="B277" s="57">
        <v>225776.16828786806</v>
      </c>
    </row>
    <row r="278" spans="1:2" x14ac:dyDescent="0.25">
      <c r="A278" s="56">
        <v>274</v>
      </c>
      <c r="B278" s="57">
        <v>227962.9985688013</v>
      </c>
    </row>
    <row r="279" spans="1:2" x14ac:dyDescent="0.25">
      <c r="A279" s="56">
        <v>275</v>
      </c>
      <c r="B279" s="57">
        <v>230169.07295620674</v>
      </c>
    </row>
    <row r="280" spans="1:2" x14ac:dyDescent="0.25">
      <c r="A280" s="56">
        <v>276</v>
      </c>
      <c r="B280" s="57">
        <v>232394.56079822136</v>
      </c>
    </row>
    <row r="281" spans="1:2" x14ac:dyDescent="0.25">
      <c r="A281" s="56">
        <v>277</v>
      </c>
      <c r="B281" s="57">
        <v>234639.63293324571</v>
      </c>
    </row>
    <row r="282" spans="1:2" x14ac:dyDescent="0.25">
      <c r="A282" s="56">
        <v>278</v>
      </c>
      <c r="B282" s="57">
        <v>236904.46170305827</v>
      </c>
    </row>
    <row r="283" spans="1:2" x14ac:dyDescent="0.25">
      <c r="A283" s="56">
        <v>279</v>
      </c>
      <c r="B283" s="57">
        <v>239189.22096604519</v>
      </c>
    </row>
    <row r="284" spans="1:2" x14ac:dyDescent="0.25">
      <c r="A284" s="56">
        <v>280</v>
      </c>
      <c r="B284" s="57">
        <v>241494.0861105464</v>
      </c>
    </row>
    <row r="285" spans="1:2" x14ac:dyDescent="0.25">
      <c r="A285" s="56">
        <v>281</v>
      </c>
      <c r="B285" s="57">
        <v>243819.2340683192</v>
      </c>
    </row>
    <row r="286" spans="1:2" x14ac:dyDescent="0.25">
      <c r="A286" s="56">
        <v>282</v>
      </c>
      <c r="B286" s="57">
        <v>246164.84332812042</v>
      </c>
    </row>
    <row r="287" spans="1:2" x14ac:dyDescent="0.25">
      <c r="A287" s="56">
        <v>283</v>
      </c>
      <c r="B287" s="57">
        <v>248531.09394940789</v>
      </c>
    </row>
    <row r="288" spans="1:2" x14ac:dyDescent="0.25">
      <c r="A288" s="56">
        <v>284</v>
      </c>
      <c r="B288" s="57">
        <v>250918.16757616267</v>
      </c>
    </row>
    <row r="289" spans="1:2" x14ac:dyDescent="0.25">
      <c r="A289" s="56">
        <v>285</v>
      </c>
      <c r="B289" s="57">
        <v>253326.24745083289</v>
      </c>
    </row>
    <row r="290" spans="1:2" x14ac:dyDescent="0.25">
      <c r="A290" s="56">
        <v>286</v>
      </c>
      <c r="B290" s="57">
        <v>255755.51842840022</v>
      </c>
    </row>
    <row r="291" spans="1:2" x14ac:dyDescent="0.25">
      <c r="A291" s="56">
        <v>287</v>
      </c>
      <c r="B291" s="57">
        <v>258206.16699057014</v>
      </c>
    </row>
    <row r="292" spans="1:2" x14ac:dyDescent="0.25">
      <c r="A292" s="56">
        <v>288</v>
      </c>
      <c r="B292" s="57">
        <v>260678.38126008716</v>
      </c>
    </row>
    <row r="293" spans="1:2" x14ac:dyDescent="0.25">
      <c r="A293" s="56">
        <v>289</v>
      </c>
      <c r="B293" s="57">
        <v>263172.35101517593</v>
      </c>
    </row>
    <row r="294" spans="1:2" x14ac:dyDescent="0.25">
      <c r="A294" s="56">
        <v>290</v>
      </c>
      <c r="B294" s="57">
        <v>265688.26770410949</v>
      </c>
    </row>
    <row r="295" spans="1:2" x14ac:dyDescent="0.25">
      <c r="A295" s="56">
        <v>291</v>
      </c>
      <c r="B295" s="57">
        <v>268226.32445990568</v>
      </c>
    </row>
    <row r="296" spans="1:2" x14ac:dyDescent="0.25">
      <c r="A296" s="56">
        <v>292</v>
      </c>
      <c r="B296" s="57">
        <v>270786.71611515287</v>
      </c>
    </row>
    <row r="297" spans="1:2" x14ac:dyDescent="0.25">
      <c r="A297" s="56">
        <v>293</v>
      </c>
      <c r="B297" s="57">
        <v>273369.63921696623</v>
      </c>
    </row>
    <row r="298" spans="1:2" x14ac:dyDescent="0.25">
      <c r="A298" s="56">
        <v>294</v>
      </c>
      <c r="B298" s="57">
        <v>275975.29204207554</v>
      </c>
    </row>
    <row r="299" spans="1:2" x14ac:dyDescent="0.25">
      <c r="A299" s="56">
        <v>295</v>
      </c>
      <c r="B299" s="57">
        <v>278603.87461204582</v>
      </c>
    </row>
    <row r="300" spans="1:2" x14ac:dyDescent="0.25">
      <c r="A300" s="56">
        <v>296</v>
      </c>
      <c r="B300" s="57">
        <v>281255.58870863181</v>
      </c>
    </row>
    <row r="301" spans="1:2" x14ac:dyDescent="0.25">
      <c r="A301" s="56">
        <v>297</v>
      </c>
      <c r="B301" s="57">
        <v>283930.63788926776</v>
      </c>
    </row>
    <row r="302" spans="1:2" x14ac:dyDescent="0.25">
      <c r="A302" s="56">
        <v>298</v>
      </c>
      <c r="B302" s="57">
        <v>286629.22750269331</v>
      </c>
    </row>
    <row r="303" spans="1:2" x14ac:dyDescent="0.25">
      <c r="A303" s="56">
        <v>299</v>
      </c>
      <c r="B303" s="57">
        <v>289351.56470471702</v>
      </c>
    </row>
    <row r="304" spans="1:2" x14ac:dyDescent="0.25">
      <c r="A304" s="56">
        <v>300</v>
      </c>
      <c r="B304" s="57">
        <v>292097.85847411852</v>
      </c>
    </row>
    <row r="305" spans="1:2" x14ac:dyDescent="0.25">
      <c r="A305" s="56">
        <v>301</v>
      </c>
      <c r="B305" s="57">
        <v>294868.31962869078</v>
      </c>
    </row>
    <row r="306" spans="1:2" x14ac:dyDescent="0.25">
      <c r="A306" s="56">
        <v>302</v>
      </c>
      <c r="B306" s="57">
        <v>297663.16084142326</v>
      </c>
    </row>
    <row r="307" spans="1:2" x14ac:dyDescent="0.25">
      <c r="A307" s="56">
        <v>303</v>
      </c>
      <c r="B307" s="57">
        <v>300482.59665682778</v>
      </c>
    </row>
    <row r="308" spans="1:2" x14ac:dyDescent="0.25">
      <c r="A308" s="56">
        <v>304</v>
      </c>
      <c r="B308" s="57">
        <v>303326.84350740787</v>
      </c>
    </row>
    <row r="309" spans="1:2" x14ac:dyDescent="0.25">
      <c r="A309" s="56">
        <v>305</v>
      </c>
      <c r="B309" s="57">
        <v>306196.11973027309</v>
      </c>
    </row>
    <row r="310" spans="1:2" x14ac:dyDescent="0.25">
      <c r="A310" s="56">
        <v>306</v>
      </c>
      <c r="B310" s="57">
        <v>309090.64558389952</v>
      </c>
    </row>
    <row r="311" spans="1:2" x14ac:dyDescent="0.25">
      <c r="A311" s="56">
        <v>307</v>
      </c>
      <c r="B311" s="57">
        <v>312010.64326503786</v>
      </c>
    </row>
    <row r="312" spans="1:2" x14ac:dyDescent="0.25">
      <c r="A312" s="56">
        <v>308</v>
      </c>
      <c r="B312" s="57">
        <v>314956.33692577021</v>
      </c>
    </row>
    <row r="313" spans="1:2" x14ac:dyDescent="0.25">
      <c r="A313" s="56">
        <v>309</v>
      </c>
      <c r="B313" s="57">
        <v>317927.95269071701</v>
      </c>
    </row>
    <row r="314" spans="1:2" x14ac:dyDescent="0.25">
      <c r="A314" s="56">
        <v>310</v>
      </c>
      <c r="B314" s="57">
        <v>320925.71867439529</v>
      </c>
    </row>
    <row r="315" spans="1:2" x14ac:dyDescent="0.25">
      <c r="A315" s="56">
        <v>311</v>
      </c>
      <c r="B315" s="57">
        <v>323949.86499872996</v>
      </c>
    </row>
    <row r="316" spans="1:2" x14ac:dyDescent="0.25">
      <c r="A316" s="56">
        <v>312</v>
      </c>
      <c r="B316" s="57">
        <v>327000.62381071877</v>
      </c>
    </row>
    <row r="317" spans="1:2" x14ac:dyDescent="0.25">
      <c r="A317" s="56">
        <v>313</v>
      </c>
      <c r="B317" s="57">
        <v>330078.22930025309</v>
      </c>
    </row>
    <row r="318" spans="1:2" x14ac:dyDescent="0.25">
      <c r="A318" s="56">
        <v>314</v>
      </c>
      <c r="B318" s="57">
        <v>333182.9177180953</v>
      </c>
    </row>
    <row r="319" spans="1:2" x14ac:dyDescent="0.25">
      <c r="A319" s="56">
        <v>315</v>
      </c>
      <c r="B319" s="57">
        <v>336314.92739401455</v>
      </c>
    </row>
    <row r="320" spans="1:2" x14ac:dyDescent="0.25">
      <c r="A320" s="56">
        <v>316</v>
      </c>
      <c r="B320" s="57">
        <v>339474.49875508191</v>
      </c>
    </row>
    <row r="321" spans="1:2" x14ac:dyDescent="0.25">
      <c r="A321" s="56">
        <v>317</v>
      </c>
      <c r="B321" s="57">
        <v>342661.87434412661</v>
      </c>
    </row>
    <row r="322" spans="1:2" x14ac:dyDescent="0.25">
      <c r="A322" s="56">
        <v>318</v>
      </c>
      <c r="B322" s="57">
        <v>345877.29883835494</v>
      </c>
    </row>
    <row r="323" spans="1:2" x14ac:dyDescent="0.25">
      <c r="A323" s="56">
        <v>319</v>
      </c>
      <c r="B323" s="57">
        <v>349121.01906813245</v>
      </c>
    </row>
    <row r="324" spans="1:2" x14ac:dyDescent="0.25">
      <c r="A324" s="56">
        <v>320</v>
      </c>
      <c r="B324" s="57">
        <v>352393.28403593204</v>
      </c>
    </row>
    <row r="325" spans="1:2" x14ac:dyDescent="0.25">
      <c r="A325" s="56">
        <v>321</v>
      </c>
      <c r="B325" s="57">
        <v>355694.34493544826</v>
      </c>
    </row>
    <row r="326" spans="1:2" x14ac:dyDescent="0.25">
      <c r="A326" s="56">
        <v>322</v>
      </c>
      <c r="B326" s="57">
        <v>359024.45517088019</v>
      </c>
    </row>
    <row r="327" spans="1:2" x14ac:dyDescent="0.25">
      <c r="A327" s="56">
        <v>323</v>
      </c>
      <c r="B327" s="57">
        <v>362383.87037638394</v>
      </c>
    </row>
    <row r="328" spans="1:2" x14ac:dyDescent="0.25">
      <c r="A328" s="56">
        <v>324</v>
      </c>
      <c r="B328" s="57">
        <v>365772.8484356961</v>
      </c>
    </row>
    <row r="329" spans="1:2" x14ac:dyDescent="0.25">
      <c r="A329" s="56">
        <v>325</v>
      </c>
      <c r="B329" s="57">
        <v>369191.64950193022</v>
      </c>
    </row>
    <row r="330" spans="1:2" x14ac:dyDescent="0.25">
      <c r="A330" s="56">
        <v>326</v>
      </c>
      <c r="B330" s="57">
        <v>372640.53601754719</v>
      </c>
    </row>
    <row r="331" spans="1:2" x14ac:dyDescent="0.25">
      <c r="A331" s="56">
        <v>327</v>
      </c>
      <c r="B331" s="57">
        <v>376119.77273450157</v>
      </c>
    </row>
    <row r="332" spans="1:2" x14ac:dyDescent="0.25">
      <c r="A332" s="56">
        <v>328</v>
      </c>
      <c r="B332" s="57">
        <v>379629.62673456519</v>
      </c>
    </row>
    <row r="333" spans="1:2" x14ac:dyDescent="0.25">
      <c r="A333" s="56">
        <v>329</v>
      </c>
      <c r="B333" s="57">
        <v>383170.36744982935</v>
      </c>
    </row>
    <row r="334" spans="1:2" x14ac:dyDescent="0.25">
      <c r="A334" s="56">
        <v>330</v>
      </c>
      <c r="B334" s="57">
        <v>386742.26668338786</v>
      </c>
    </row>
    <row r="335" spans="1:2" x14ac:dyDescent="0.25">
      <c r="A335" s="56">
        <v>331</v>
      </c>
      <c r="B335" s="57">
        <v>390345.59863020165</v>
      </c>
    </row>
    <row r="336" spans="1:2" x14ac:dyDescent="0.25">
      <c r="A336" s="56">
        <v>332</v>
      </c>
      <c r="B336" s="57">
        <v>393980.63989814743</v>
      </c>
    </row>
    <row r="337" spans="1:2" x14ac:dyDescent="0.25">
      <c r="A337" s="56">
        <v>333</v>
      </c>
      <c r="B337" s="57">
        <v>397647.66952925111</v>
      </c>
    </row>
    <row r="338" spans="1:2" x14ac:dyDescent="0.25">
      <c r="A338" s="56">
        <v>334</v>
      </c>
      <c r="B338" s="57">
        <v>401346.96902110853</v>
      </c>
    </row>
    <row r="339" spans="1:2" x14ac:dyDescent="0.25">
      <c r="A339" s="56">
        <v>335</v>
      </c>
      <c r="B339" s="57">
        <v>405078.82234849426</v>
      </c>
    </row>
    <row r="340" spans="1:2" x14ac:dyDescent="0.25">
      <c r="A340" s="56">
        <v>336</v>
      </c>
      <c r="B340" s="57">
        <v>408843.51598516101</v>
      </c>
    </row>
    <row r="341" spans="1:2" x14ac:dyDescent="0.25">
      <c r="A341" s="56">
        <v>337</v>
      </c>
      <c r="B341" s="57">
        <v>412641.33892583044</v>
      </c>
    </row>
    <row r="342" spans="1:2" x14ac:dyDescent="0.25">
      <c r="A342" s="56">
        <v>338</v>
      </c>
      <c r="B342" s="57">
        <v>416472.58270837774</v>
      </c>
    </row>
    <row r="343" spans="1:2" x14ac:dyDescent="0.25">
      <c r="A343" s="56">
        <v>339</v>
      </c>
      <c r="B343" s="57">
        <v>420337.54143621144</v>
      </c>
    </row>
    <row r="344" spans="1:2" x14ac:dyDescent="0.25">
      <c r="A344" s="56">
        <v>340</v>
      </c>
      <c r="B344" s="57">
        <v>424236.5118008501</v>
      </c>
    </row>
    <row r="345" spans="1:2" x14ac:dyDescent="0.25">
      <c r="A345" s="56">
        <v>341</v>
      </c>
      <c r="B345" s="57">
        <v>428169.7931046976</v>
      </c>
    </row>
    <row r="346" spans="1:2" x14ac:dyDescent="0.25">
      <c r="A346" s="56">
        <v>342</v>
      </c>
      <c r="B346" s="57">
        <v>432137.68728401896</v>
      </c>
    </row>
    <row r="347" spans="1:2" x14ac:dyDescent="0.25">
      <c r="A347" s="56">
        <v>343</v>
      </c>
      <c r="B347" s="57">
        <v>436140.49893211835</v>
      </c>
    </row>
    <row r="348" spans="1:2" x14ac:dyDescent="0.25">
      <c r="A348" s="56">
        <v>344</v>
      </c>
      <c r="B348" s="57">
        <v>440178.535322721</v>
      </c>
    </row>
    <row r="349" spans="1:2" x14ac:dyDescent="0.25">
      <c r="A349" s="56">
        <v>345</v>
      </c>
      <c r="B349" s="57">
        <v>444252.10643356096</v>
      </c>
    </row>
    <row r="350" spans="1:2" x14ac:dyDescent="0.25">
      <c r="A350" s="56">
        <v>346</v>
      </c>
      <c r="B350" s="57">
        <v>448361.52497017628</v>
      </c>
    </row>
    <row r="351" spans="1:2" x14ac:dyDescent="0.25">
      <c r="A351" s="56">
        <v>347</v>
      </c>
      <c r="B351" s="57">
        <v>452507.10638991382</v>
      </c>
    </row>
    <row r="352" spans="1:2" x14ac:dyDescent="0.25">
      <c r="A352" s="56">
        <v>348</v>
      </c>
      <c r="B352" s="57">
        <v>456689.16892614507</v>
      </c>
    </row>
    <row r="353" spans="1:2" x14ac:dyDescent="0.25">
      <c r="A353" s="56">
        <v>349</v>
      </c>
      <c r="B353" s="57">
        <v>460908.03361269512</v>
      </c>
    </row>
    <row r="354" spans="1:2" x14ac:dyDescent="0.25">
      <c r="A354" s="56">
        <v>350</v>
      </c>
      <c r="B354" s="57">
        <v>465164.02430848684</v>
      </c>
    </row>
    <row r="355" spans="1:2" x14ac:dyDescent="0.25">
      <c r="A355" s="56">
        <v>351</v>
      </c>
      <c r="B355" s="57">
        <v>469457.46772240155</v>
      </c>
    </row>
    <row r="356" spans="1:2" x14ac:dyDescent="0.25">
      <c r="A356" s="56">
        <v>352</v>
      </c>
      <c r="B356" s="57">
        <v>473788.69343835866</v>
      </c>
    </row>
    <row r="357" spans="1:2" x14ac:dyDescent="0.25">
      <c r="A357" s="56">
        <v>353</v>
      </c>
      <c r="B357" s="57">
        <v>478158.03394061624</v>
      </c>
    </row>
    <row r="358" spans="1:2" x14ac:dyDescent="0.25">
      <c r="A358" s="56">
        <v>354</v>
      </c>
      <c r="B358" s="57">
        <v>482565.82463929366</v>
      </c>
    </row>
    <row r="359" spans="1:2" x14ac:dyDescent="0.25">
      <c r="A359" s="56">
        <v>355</v>
      </c>
      <c r="B359" s="57">
        <v>487012.40389611945</v>
      </c>
    </row>
    <row r="360" spans="1:2" x14ac:dyDescent="0.25">
      <c r="A360" s="56">
        <v>356</v>
      </c>
      <c r="B360" s="57">
        <v>491498.11305040529</v>
      </c>
    </row>
    <row r="361" spans="1:2" x14ac:dyDescent="0.25">
      <c r="A361" s="56">
        <v>357</v>
      </c>
      <c r="B361" s="57">
        <v>496023.29644524888</v>
      </c>
    </row>
    <row r="362" spans="1:2" x14ac:dyDescent="0.25">
      <c r="A362" s="56">
        <v>358</v>
      </c>
      <c r="B362" s="57">
        <v>500588.30145396705</v>
      </c>
    </row>
    <row r="363" spans="1:2" x14ac:dyDescent="0.25">
      <c r="A363" s="56">
        <v>359</v>
      </c>
      <c r="B363" s="57">
        <v>505193.47850676195</v>
      </c>
    </row>
    <row r="364" spans="1:2" x14ac:dyDescent="0.25">
      <c r="A364" s="56">
        <v>360</v>
      </c>
      <c r="B364" s="57">
        <v>509839.18111762148</v>
      </c>
    </row>
    <row r="365" spans="1:2" x14ac:dyDescent="0.25">
      <c r="A365" s="56">
        <v>361</v>
      </c>
      <c r="B365" s="57">
        <v>514525.76591145655</v>
      </c>
    </row>
    <row r="366" spans="1:2" x14ac:dyDescent="0.25">
      <c r="A366" s="56">
        <v>362</v>
      </c>
      <c r="B366" s="57">
        <v>519253.59265147737</v>
      </c>
    </row>
    <row r="367" spans="1:2" x14ac:dyDescent="0.25">
      <c r="A367" s="56">
        <v>363</v>
      </c>
      <c r="B367" s="57">
        <v>524023.02426681039</v>
      </c>
    </row>
    <row r="368" spans="1:2" x14ac:dyDescent="0.25">
      <c r="A368" s="56">
        <v>364</v>
      </c>
      <c r="B368" s="57">
        <v>528834.42688035837</v>
      </c>
    </row>
    <row r="369" spans="1:2" x14ac:dyDescent="0.25">
      <c r="A369" s="56">
        <v>365</v>
      </c>
      <c r="B369" s="57">
        <v>533688.16983690555</v>
      </c>
    </row>
    <row r="370" spans="1:2" x14ac:dyDescent="0.25">
      <c r="A370" s="56">
        <v>366</v>
      </c>
      <c r="B370" s="57">
        <v>538584.6257314703</v>
      </c>
    </row>
    <row r="371" spans="1:2" x14ac:dyDescent="0.25">
      <c r="A371" s="56">
        <v>367</v>
      </c>
      <c r="B371" s="57">
        <v>543524.17043790722</v>
      </c>
    </row>
    <row r="372" spans="1:2" x14ac:dyDescent="0.25">
      <c r="A372" s="56">
        <v>368</v>
      </c>
      <c r="B372" s="57">
        <v>548507.18313776085</v>
      </c>
    </row>
    <row r="373" spans="1:2" x14ac:dyDescent="0.25">
      <c r="A373" s="56">
        <v>369</v>
      </c>
      <c r="B373" s="57">
        <v>553534.04634937318</v>
      </c>
    </row>
    <row r="374" spans="1:2" x14ac:dyDescent="0.25">
      <c r="A374" s="56">
        <v>370</v>
      </c>
      <c r="B374" s="57">
        <v>558605.1459572477</v>
      </c>
    </row>
    <row r="375" spans="1:2" x14ac:dyDescent="0.25">
      <c r="A375" s="56">
        <v>371</v>
      </c>
      <c r="B375" s="57">
        <v>563720.8712416715</v>
      </c>
    </row>
    <row r="376" spans="1:2" x14ac:dyDescent="0.25">
      <c r="A376" s="56">
        <v>372</v>
      </c>
      <c r="B376" s="57">
        <v>568881.61490859825</v>
      </c>
    </row>
    <row r="377" spans="1:2" x14ac:dyDescent="0.25">
      <c r="A377" s="56">
        <v>373</v>
      </c>
      <c r="B377" s="57">
        <v>574087.77311979386</v>
      </c>
    </row>
    <row r="378" spans="1:2" x14ac:dyDescent="0.25">
      <c r="A378" s="56">
        <v>374</v>
      </c>
      <c r="B378" s="57">
        <v>579339.74552324798</v>
      </c>
    </row>
    <row r="379" spans="1:2" x14ac:dyDescent="0.25">
      <c r="A379" s="56">
        <v>375</v>
      </c>
      <c r="B379" s="57">
        <v>584637.93528385251</v>
      </c>
    </row>
    <row r="380" spans="1:2" x14ac:dyDescent="0.25">
      <c r="A380" s="56">
        <v>376</v>
      </c>
      <c r="B380" s="57">
        <v>589982.74911435042</v>
      </c>
    </row>
    <row r="381" spans="1:2" x14ac:dyDescent="0.25">
      <c r="A381" s="56">
        <v>377</v>
      </c>
      <c r="B381" s="57">
        <v>595374.59730655665</v>
      </c>
    </row>
    <row r="382" spans="1:2" x14ac:dyDescent="0.25">
      <c r="A382" s="56">
        <v>378</v>
      </c>
      <c r="B382" s="57">
        <v>600813.89376285439</v>
      </c>
    </row>
    <row r="383" spans="1:2" x14ac:dyDescent="0.25">
      <c r="A383" s="56">
        <v>379</v>
      </c>
      <c r="B383" s="57">
        <v>606301.05602796748</v>
      </c>
    </row>
    <row r="384" spans="1:2" x14ac:dyDescent="0.25">
      <c r="A384" s="56">
        <v>380</v>
      </c>
      <c r="B384" s="57">
        <v>611836.50532101362</v>
      </c>
    </row>
    <row r="385" spans="1:2" x14ac:dyDescent="0.25">
      <c r="A385" s="56">
        <v>381</v>
      </c>
      <c r="B385" s="57">
        <v>617420.66656783852</v>
      </c>
    </row>
    <row r="386" spans="1:2" x14ac:dyDescent="0.25">
      <c r="A386" s="56">
        <v>382</v>
      </c>
      <c r="B386" s="57">
        <v>623053.96843363554</v>
      </c>
    </row>
    <row r="387" spans="1:2" x14ac:dyDescent="0.25">
      <c r="A387" s="56">
        <v>383</v>
      </c>
      <c r="B387" s="57">
        <v>628736.84335585148</v>
      </c>
    </row>
    <row r="388" spans="1:2" x14ac:dyDescent="0.25">
      <c r="A388" s="56">
        <v>384</v>
      </c>
      <c r="B388" s="57">
        <v>634469.72757738293</v>
      </c>
    </row>
    <row r="389" spans="1:2" x14ac:dyDescent="0.25">
      <c r="A389" s="56">
        <v>385</v>
      </c>
      <c r="B389" s="57">
        <v>640253.06118006387</v>
      </c>
    </row>
    <row r="390" spans="1:2" x14ac:dyDescent="0.25">
      <c r="A390" s="56">
        <v>386</v>
      </c>
      <c r="B390" s="57">
        <v>646087.28811844846</v>
      </c>
    </row>
    <row r="391" spans="1:2" x14ac:dyDescent="0.25">
      <c r="A391" s="56">
        <v>387</v>
      </c>
      <c r="B391" s="57">
        <v>651972.85625389079</v>
      </c>
    </row>
    <row r="392" spans="1:2" x14ac:dyDescent="0.25">
      <c r="A392" s="56">
        <v>388</v>
      </c>
      <c r="B392" s="57">
        <v>657910.21738892503</v>
      </c>
    </row>
    <row r="393" spans="1:2" x14ac:dyDescent="0.25">
      <c r="A393" s="56">
        <v>389</v>
      </c>
      <c r="B393" s="57">
        <v>663899.82730194752</v>
      </c>
    </row>
    <row r="394" spans="1:2" x14ac:dyDescent="0.25">
      <c r="A394" s="56">
        <v>390</v>
      </c>
      <c r="B394" s="57">
        <v>669942.14578220469</v>
      </c>
    </row>
    <row r="395" spans="1:2" x14ac:dyDescent="0.25">
      <c r="A395" s="56">
        <v>391</v>
      </c>
      <c r="B395" s="57">
        <v>676037.63666508812</v>
      </c>
    </row>
    <row r="396" spans="1:2" x14ac:dyDescent="0.25">
      <c r="A396" s="56">
        <v>392</v>
      </c>
      <c r="B396" s="57">
        <v>682186.76786774094</v>
      </c>
    </row>
    <row r="397" spans="1:2" x14ac:dyDescent="0.25">
      <c r="A397" s="56">
        <v>393</v>
      </c>
      <c r="B397" s="57">
        <v>688390.0114249771</v>
      </c>
    </row>
    <row r="398" spans="1:2" x14ac:dyDescent="0.25">
      <c r="A398" s="56">
        <v>394</v>
      </c>
      <c r="B398" s="57">
        <v>694647.84352551692</v>
      </c>
    </row>
    <row r="399" spans="1:2" x14ac:dyDescent="0.25">
      <c r="A399" s="56">
        <v>395</v>
      </c>
      <c r="B399" s="57">
        <v>700960.74454854149</v>
      </c>
    </row>
    <row r="400" spans="1:2" x14ac:dyDescent="0.25">
      <c r="A400" s="56">
        <v>396</v>
      </c>
      <c r="B400" s="57">
        <v>707329.19910056866</v>
      </c>
    </row>
    <row r="401" spans="1:2" x14ac:dyDescent="0.25">
      <c r="A401" s="56">
        <v>397</v>
      </c>
      <c r="B401" s="57">
        <v>713753.69605265372</v>
      </c>
    </row>
    <row r="402" spans="1:2" x14ac:dyDescent="0.25">
      <c r="A402" s="56">
        <v>398</v>
      </c>
      <c r="B402" s="57">
        <v>720234.72857791709</v>
      </c>
    </row>
    <row r="403" spans="1:2" x14ac:dyDescent="0.25">
      <c r="A403" s="56">
        <v>399</v>
      </c>
      <c r="B403" s="57">
        <v>726772.79418940272</v>
      </c>
    </row>
    <row r="404" spans="1:2" x14ac:dyDescent="0.25">
      <c r="A404" s="56">
        <v>400</v>
      </c>
      <c r="B404" s="57">
        <v>733368.39477826946</v>
      </c>
    </row>
    <row r="405" spans="1:2" x14ac:dyDescent="0.25">
      <c r="A405" s="56">
        <v>401</v>
      </c>
      <c r="B405" s="57">
        <v>740022.0366523182</v>
      </c>
    </row>
    <row r="406" spans="1:2" x14ac:dyDescent="0.25">
      <c r="A406" s="56">
        <v>402</v>
      </c>
      <c r="B406" s="57">
        <v>746734.23057485861</v>
      </c>
    </row>
    <row r="407" spans="1:2" x14ac:dyDescent="0.25">
      <c r="A407" s="56">
        <v>403</v>
      </c>
      <c r="B407" s="57">
        <v>753505.49180391734</v>
      </c>
    </row>
    <row r="408" spans="1:2" x14ac:dyDescent="0.25">
      <c r="A408" s="56">
        <v>404</v>
      </c>
      <c r="B408" s="57">
        <v>760336.34013179177</v>
      </c>
    </row>
    <row r="409" spans="1:2" x14ac:dyDescent="0.25">
      <c r="A409" s="56">
        <v>405</v>
      </c>
      <c r="B409" s="57">
        <v>767227.29992495151</v>
      </c>
    </row>
    <row r="410" spans="1:2" x14ac:dyDescent="0.25">
      <c r="A410" s="56">
        <v>406</v>
      </c>
      <c r="B410" s="57">
        <v>774178.90016429103</v>
      </c>
    </row>
    <row r="411" spans="1:2" x14ac:dyDescent="0.25">
      <c r="A411" s="56">
        <v>407</v>
      </c>
      <c r="B411" s="57">
        <v>781191.67448573676</v>
      </c>
    </row>
    <row r="412" spans="1:2" x14ac:dyDescent="0.25">
      <c r="A412" s="56">
        <v>408</v>
      </c>
      <c r="B412" s="57">
        <v>788266.16122121119</v>
      </c>
    </row>
    <row r="413" spans="1:2" x14ac:dyDescent="0.25">
      <c r="A413" s="56">
        <v>409</v>
      </c>
      <c r="B413" s="57">
        <v>795402.90343995788</v>
      </c>
    </row>
    <row r="414" spans="1:2" x14ac:dyDescent="0.25">
      <c r="A414" s="56">
        <v>410</v>
      </c>
      <c r="B414" s="57">
        <v>802602.44899022952</v>
      </c>
    </row>
    <row r="415" spans="1:2" x14ac:dyDescent="0.25">
      <c r="A415" s="56">
        <v>411</v>
      </c>
      <c r="B415" s="57">
        <v>809865.35054134356</v>
      </c>
    </row>
    <row r="416" spans="1:2" x14ac:dyDescent="0.25">
      <c r="A416" s="56">
        <v>412</v>
      </c>
      <c r="B416" s="57">
        <v>817192.16562610737</v>
      </c>
    </row>
    <row r="417" spans="1:2" x14ac:dyDescent="0.25">
      <c r="A417" s="56">
        <v>413</v>
      </c>
      <c r="B417" s="57">
        <v>824583.45668361709</v>
      </c>
    </row>
    <row r="418" spans="1:2" x14ac:dyDescent="0.25">
      <c r="A418" s="56">
        <v>414</v>
      </c>
      <c r="B418" s="57">
        <v>832039.79110243288</v>
      </c>
    </row>
    <row r="419" spans="1:2" x14ac:dyDescent="0.25">
      <c r="A419" s="56">
        <v>415</v>
      </c>
      <c r="B419" s="57">
        <v>839561.7412641343</v>
      </c>
    </row>
    <row r="420" spans="1:2" x14ac:dyDescent="0.25">
      <c r="A420" s="56">
        <v>416</v>
      </c>
      <c r="B420" s="57">
        <v>847149.88458725868</v>
      </c>
    </row>
    <row r="421" spans="1:2" x14ac:dyDescent="0.25">
      <c r="A421" s="56">
        <v>417</v>
      </c>
      <c r="B421" s="57">
        <v>854804.80357162654</v>
      </c>
    </row>
    <row r="422" spans="1:2" x14ac:dyDescent="0.25">
      <c r="A422" s="56">
        <v>418</v>
      </c>
      <c r="B422" s="57">
        <v>862527.08584305691</v>
      </c>
    </row>
    <row r="423" spans="1:2" x14ac:dyDescent="0.25">
      <c r="A423" s="56">
        <v>419</v>
      </c>
      <c r="B423" s="57">
        <v>870317.32419847581</v>
      </c>
    </row>
    <row r="424" spans="1:2" x14ac:dyDescent="0.25">
      <c r="A424" s="56">
        <v>420</v>
      </c>
      <c r="B424" s="57">
        <v>878176.11665142234</v>
      </c>
    </row>
    <row r="425" spans="1:2" x14ac:dyDescent="0.25">
      <c r="A425" s="56">
        <v>421</v>
      </c>
      <c r="B425" s="57">
        <v>886104.06647795485</v>
      </c>
    </row>
    <row r="426" spans="1:2" x14ac:dyDescent="0.25">
      <c r="A426" s="56">
        <v>422</v>
      </c>
      <c r="B426" s="57">
        <v>894101.78226296091</v>
      </c>
    </row>
    <row r="427" spans="1:2" x14ac:dyDescent="0.25">
      <c r="A427" s="56">
        <v>423</v>
      </c>
      <c r="B427" s="57">
        <v>902169.87794687494</v>
      </c>
    </row>
    <row r="428" spans="1:2" x14ac:dyDescent="0.25">
      <c r="A428" s="56">
        <v>424</v>
      </c>
      <c r="B428" s="57">
        <v>910308.97287280741</v>
      </c>
    </row>
    <row r="429" spans="1:2" x14ac:dyDescent="0.25">
      <c r="A429" s="56">
        <v>425</v>
      </c>
      <c r="B429" s="57">
        <v>918519.69183408807</v>
      </c>
    </row>
    <row r="430" spans="1:2" x14ac:dyDescent="0.25">
      <c r="A430" s="56">
        <v>426</v>
      </c>
      <c r="B430" s="57">
        <v>926802.66512222809</v>
      </c>
    </row>
    <row r="431" spans="1:2" x14ac:dyDescent="0.25">
      <c r="A431" s="56">
        <v>427</v>
      </c>
      <c r="B431" s="57">
        <v>935158.52857530373</v>
      </c>
    </row>
    <row r="432" spans="1:2" x14ac:dyDescent="0.25">
      <c r="A432" s="56">
        <v>428</v>
      </c>
      <c r="B432" s="57">
        <v>943587.92362676642</v>
      </c>
    </row>
    <row r="433" spans="1:2" x14ac:dyDescent="0.25">
      <c r="A433" s="56">
        <v>429</v>
      </c>
      <c r="B433" s="57">
        <v>952091.49735468195</v>
      </c>
    </row>
    <row r="434" spans="1:2" x14ac:dyDescent="0.25">
      <c r="A434" s="56">
        <v>430</v>
      </c>
      <c r="B434" s="57">
        <v>960669.90253140312</v>
      </c>
    </row>
    <row r="435" spans="1:2" x14ac:dyDescent="0.25">
      <c r="A435" s="56">
        <v>431</v>
      </c>
      <c r="B435" s="57">
        <v>969323.79767367942</v>
      </c>
    </row>
    <row r="436" spans="1:2" x14ac:dyDescent="0.25">
      <c r="A436" s="56">
        <v>432</v>
      </c>
      <c r="B436" s="57">
        <v>978053.84709320776</v>
      </c>
    </row>
    <row r="437" spans="1:2" x14ac:dyDescent="0.25">
      <c r="A437" s="56">
        <v>433</v>
      </c>
      <c r="B437" s="57">
        <v>986860.72094762803</v>
      </c>
    </row>
    <row r="438" spans="1:2" x14ac:dyDescent="0.25">
      <c r="A438" s="56">
        <v>434</v>
      </c>
      <c r="B438" s="57">
        <v>995745.09529196715</v>
      </c>
    </row>
    <row r="439" spans="1:2" x14ac:dyDescent="0.25">
      <c r="A439" s="56">
        <v>435</v>
      </c>
      <c r="B439" s="57">
        <v>1004707.6521305365</v>
      </c>
    </row>
    <row r="440" spans="1:2" x14ac:dyDescent="0.25">
      <c r="A440" s="56">
        <v>436</v>
      </c>
      <c r="B440" s="57">
        <v>1013749.0794692852</v>
      </c>
    </row>
    <row r="441" spans="1:2" x14ac:dyDescent="0.25">
      <c r="A441" s="56">
        <v>437</v>
      </c>
      <c r="B441" s="57">
        <v>1022870.0713686149</v>
      </c>
    </row>
    <row r="442" spans="1:2" x14ac:dyDescent="0.25">
      <c r="A442" s="56">
        <v>438</v>
      </c>
      <c r="B442" s="57">
        <v>1032071.3279966587</v>
      </c>
    </row>
    <row r="443" spans="1:2" x14ac:dyDescent="0.25">
      <c r="A443" s="56">
        <v>439</v>
      </c>
      <c r="B443" s="57">
        <v>1041353.5556830293</v>
      </c>
    </row>
    <row r="444" spans="1:2" x14ac:dyDescent="0.25">
      <c r="A444" s="56">
        <v>440</v>
      </c>
      <c r="B444" s="57">
        <v>1050717.46697304</v>
      </c>
    </row>
    <row r="445" spans="1:2" x14ac:dyDescent="0.25">
      <c r="A445" s="56">
        <v>441</v>
      </c>
      <c r="B445" s="57">
        <v>1060163.7806824027</v>
      </c>
    </row>
    <row r="446" spans="1:2" x14ac:dyDescent="0.25">
      <c r="A446" s="56">
        <v>442</v>
      </c>
      <c r="B446" s="57">
        <v>1069693.2219524079</v>
      </c>
    </row>
    <row r="447" spans="1:2" x14ac:dyDescent="0.25">
      <c r="A447" s="56">
        <v>443</v>
      </c>
      <c r="B447" s="57">
        <v>1079306.5223055889</v>
      </c>
    </row>
    <row r="448" spans="1:2" x14ac:dyDescent="0.25">
      <c r="A448" s="56">
        <v>444</v>
      </c>
      <c r="B448" s="57">
        <v>1089004.4197018782</v>
      </c>
    </row>
    <row r="449" spans="1:2" x14ac:dyDescent="0.25">
      <c r="A449" s="56">
        <v>445</v>
      </c>
      <c r="B449" s="57">
        <v>1098787.6585952546</v>
      </c>
    </row>
    <row r="450" spans="1:2" x14ac:dyDescent="0.25">
      <c r="A450" s="56">
        <v>446</v>
      </c>
      <c r="B450" s="57">
        <v>1108656.9899908928</v>
      </c>
    </row>
    <row r="451" spans="1:2" x14ac:dyDescent="0.25">
      <c r="A451" s="56">
        <v>447</v>
      </c>
      <c r="B451" s="57">
        <v>1118613.1715028128</v>
      </c>
    </row>
    <row r="452" spans="1:2" x14ac:dyDescent="0.25">
      <c r="A452" s="56">
        <v>448</v>
      </c>
      <c r="B452" s="57">
        <v>1128656.9674120375</v>
      </c>
    </row>
    <row r="453" spans="1:2" x14ac:dyDescent="0.25">
      <c r="A453" s="56">
        <v>449</v>
      </c>
      <c r="B453" s="57">
        <v>1138789.1487252635</v>
      </c>
    </row>
    <row r="454" spans="1:2" x14ac:dyDescent="0.25">
      <c r="A454" s="56">
        <v>450</v>
      </c>
      <c r="B454" s="57">
        <v>1149010.4932340458</v>
      </c>
    </row>
    <row r="455" spans="1:2" x14ac:dyDescent="0.25">
      <c r="A455" s="56">
        <v>451</v>
      </c>
      <c r="B455" s="57">
        <v>1159321.7855745053</v>
      </c>
    </row>
    <row r="456" spans="1:2" x14ac:dyDescent="0.25">
      <c r="A456" s="56">
        <v>452</v>
      </c>
      <c r="B456" s="57">
        <v>1169723.817287561</v>
      </c>
    </row>
    <row r="457" spans="1:2" x14ac:dyDescent="0.25">
      <c r="A457" s="56">
        <v>453</v>
      </c>
      <c r="B457" s="57">
        <v>1180217.3868796916</v>
      </c>
    </row>
    <row r="458" spans="1:2" x14ac:dyDescent="0.25">
      <c r="A458" s="56">
        <v>454</v>
      </c>
      <c r="B458" s="57">
        <v>1190803.2998842329</v>
      </c>
    </row>
    <row r="459" spans="1:2" x14ac:dyDescent="0.25">
      <c r="A459" s="56">
        <v>455</v>
      </c>
      <c r="B459" s="57">
        <v>1201482.3689232143</v>
      </c>
    </row>
    <row r="460" spans="1:2" x14ac:dyDescent="0.25">
      <c r="A460" s="56">
        <v>456</v>
      </c>
      <c r="B460" s="57">
        <v>1212255.4137697385</v>
      </c>
    </row>
    <row r="461" spans="1:2" x14ac:dyDescent="0.25">
      <c r="A461" s="56">
        <v>457</v>
      </c>
      <c r="B461" s="57">
        <v>1223123.2614109123</v>
      </c>
    </row>
    <row r="462" spans="1:2" x14ac:dyDescent="0.25">
      <c r="A462" s="56">
        <v>458</v>
      </c>
      <c r="B462" s="57">
        <v>1234086.7461113282</v>
      </c>
    </row>
    <row r="463" spans="1:2" x14ac:dyDescent="0.25">
      <c r="A463" s="56">
        <v>459</v>
      </c>
      <c r="B463" s="57">
        <v>1245146.709477108</v>
      </c>
    </row>
    <row r="464" spans="1:2" x14ac:dyDescent="0.25">
      <c r="A464" s="56">
        <v>460</v>
      </c>
      <c r="B464" s="57">
        <v>1256304.0005205064</v>
      </c>
    </row>
    <row r="465" spans="1:2" x14ac:dyDescent="0.25">
      <c r="A465" s="56">
        <v>461</v>
      </c>
      <c r="B465" s="57">
        <v>1267559.4757250869</v>
      </c>
    </row>
    <row r="466" spans="1:2" x14ac:dyDescent="0.25">
      <c r="A466" s="56">
        <v>462</v>
      </c>
      <c r="B466" s="57">
        <v>1278913.9991114677</v>
      </c>
    </row>
    <row r="467" spans="1:2" x14ac:dyDescent="0.25">
      <c r="A467" s="56">
        <v>463</v>
      </c>
      <c r="B467" s="57">
        <v>1290368.4423036487</v>
      </c>
    </row>
    <row r="468" spans="1:2" x14ac:dyDescent="0.25">
      <c r="A468" s="56">
        <v>464</v>
      </c>
      <c r="B468" s="57">
        <v>1301923.6845959208</v>
      </c>
    </row>
    <row r="469" spans="1:2" x14ac:dyDescent="0.25">
      <c r="A469" s="56">
        <v>465</v>
      </c>
      <c r="B469" s="57">
        <v>1313580.6130203649</v>
      </c>
    </row>
    <row r="470" spans="1:2" x14ac:dyDescent="0.25">
      <c r="A470" s="56">
        <v>466</v>
      </c>
      <c r="B470" s="57">
        <v>1325340.122414944</v>
      </c>
    </row>
    <row r="471" spans="1:2" x14ac:dyDescent="0.25">
      <c r="A471" s="56">
        <v>467</v>
      </c>
      <c r="B471" s="57">
        <v>1337203.1154921956</v>
      </c>
    </row>
    <row r="472" spans="1:2" x14ac:dyDescent="0.25">
      <c r="A472" s="56">
        <v>468</v>
      </c>
      <c r="B472" s="57">
        <v>1349170.5029085269</v>
      </c>
    </row>
    <row r="473" spans="1:2" x14ac:dyDescent="0.25">
      <c r="A473" s="56">
        <v>469</v>
      </c>
      <c r="B473" s="57">
        <v>1361243.203334122</v>
      </c>
    </row>
    <row r="474" spans="1:2" x14ac:dyDescent="0.25">
      <c r="A474" s="56">
        <v>470</v>
      </c>
      <c r="B474" s="57">
        <v>1373422.1435234623</v>
      </c>
    </row>
    <row r="475" spans="1:2" x14ac:dyDescent="0.25">
      <c r="A475" s="56">
        <v>471</v>
      </c>
      <c r="B475" s="57">
        <v>1385708.2583864687</v>
      </c>
    </row>
    <row r="476" spans="1:2" x14ac:dyDescent="0.25">
      <c r="A476" s="56">
        <v>472</v>
      </c>
      <c r="B476" s="57">
        <v>1398102.4910602698</v>
      </c>
    </row>
    <row r="477" spans="1:2" x14ac:dyDescent="0.25">
      <c r="A477" s="56">
        <v>473</v>
      </c>
      <c r="B477" s="57">
        <v>1410605.7929816002</v>
      </c>
    </row>
    <row r="478" spans="1:2" x14ac:dyDescent="0.25">
      <c r="A478" s="56">
        <v>474</v>
      </c>
      <c r="B478" s="57">
        <v>1423219.1239598382</v>
      </c>
    </row>
    <row r="479" spans="1:2" x14ac:dyDescent="0.25">
      <c r="A479" s="56">
        <v>475</v>
      </c>
      <c r="B479" s="57">
        <v>1435943.4522506848</v>
      </c>
    </row>
    <row r="480" spans="1:2" x14ac:dyDescent="0.25">
      <c r="A480" s="56">
        <v>476</v>
      </c>
      <c r="B480" s="57">
        <v>1448779.7546304909</v>
      </c>
    </row>
    <row r="481" spans="1:2" x14ac:dyDescent="0.25">
      <c r="A481" s="56">
        <v>477</v>
      </c>
      <c r="B481" s="57">
        <v>1461729.0164712393</v>
      </c>
    </row>
    <row r="482" spans="1:2" x14ac:dyDescent="0.25">
      <c r="A482" s="56">
        <v>478</v>
      </c>
      <c r="B482" s="57">
        <v>1474792.2318161861</v>
      </c>
    </row>
    <row r="483" spans="1:2" x14ac:dyDescent="0.25">
      <c r="A483" s="56">
        <v>479</v>
      </c>
      <c r="B483" s="57">
        <v>1487970.4034561685</v>
      </c>
    </row>
    <row r="484" spans="1:2" x14ac:dyDescent="0.25">
      <c r="A484" s="56">
        <v>480</v>
      </c>
      <c r="B484" s="57">
        <v>1501264.5430065827</v>
      </c>
    </row>
    <row r="485" spans="1:2" x14ac:dyDescent="0.25">
      <c r="A485" s="56" t="s">
        <v>15</v>
      </c>
      <c r="B485" s="57">
        <v>161190417.15739089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7"/>
  <sheetViews>
    <sheetView showGridLines="0" showRowColHeaders="0" showZeros="0" tabSelected="1" zoomScale="115" zoomScaleNormal="115" workbookViewId="0">
      <pane ySplit="10" topLeftCell="A11" activePane="bottomLeft" state="frozen"/>
      <selection pane="bottomLeft" activeCell="F9" sqref="F9"/>
    </sheetView>
  </sheetViews>
  <sheetFormatPr defaultColWidth="21.85546875" defaultRowHeight="12.75" zeroHeight="1" x14ac:dyDescent="0.2"/>
  <cols>
    <col min="1" max="1" width="0.85546875" style="4" customWidth="1"/>
    <col min="2" max="2" width="8.42578125" style="10" customWidth="1"/>
    <col min="3" max="3" width="19.28515625" style="10" bestFit="1" customWidth="1"/>
    <col min="4" max="4" width="19" style="10" customWidth="1"/>
    <col min="5" max="5" width="19.28515625" style="10" bestFit="1" customWidth="1"/>
    <col min="6" max="6" width="18.85546875" style="10" customWidth="1"/>
    <col min="7" max="7" width="21.7109375" style="10" customWidth="1"/>
    <col min="8" max="8" width="28.85546875" style="10" bestFit="1" customWidth="1"/>
    <col min="9" max="9" width="0.85546875" style="5" customWidth="1"/>
    <col min="10" max="14" width="70.7109375" style="1" customWidth="1"/>
    <col min="15" max="15" width="2.28515625" style="1" customWidth="1"/>
    <col min="16" max="16384" width="21.85546875" style="1"/>
  </cols>
  <sheetData>
    <row r="1" spans="1:11" ht="5.0999999999999996" customHeight="1" x14ac:dyDescent="0.2">
      <c r="B1" s="4"/>
      <c r="C1" s="4"/>
      <c r="D1" s="4"/>
      <c r="E1" s="4"/>
      <c r="F1" s="4"/>
      <c r="G1" s="4"/>
      <c r="H1" s="4"/>
    </row>
    <row r="2" spans="1:11" ht="114" customHeight="1" x14ac:dyDescent="0.2">
      <c r="B2" s="4"/>
      <c r="C2" s="4"/>
      <c r="D2" s="4"/>
      <c r="E2" s="4"/>
      <c r="F2" s="4"/>
      <c r="G2" s="4"/>
      <c r="H2" s="4"/>
    </row>
    <row r="3" spans="1:11" ht="5.0999999999999996" customHeight="1" thickBot="1" x14ac:dyDescent="0.25">
      <c r="B3" s="4"/>
      <c r="C3" s="4"/>
      <c r="D3" s="4"/>
      <c r="E3" s="4"/>
      <c r="F3" s="4"/>
      <c r="G3" s="4"/>
      <c r="H3" s="4"/>
    </row>
    <row r="4" spans="1:11" ht="15.75" customHeight="1" x14ac:dyDescent="0.2">
      <c r="B4" s="62" t="str">
        <f>CONCATENATE("PLANO DE INVESTIMENTO PARA ",E9)</f>
        <v>PLANO DE INVESTIMENTO PARA 40 ANOS</v>
      </c>
      <c r="C4" s="63"/>
      <c r="D4" s="63"/>
      <c r="E4" s="63"/>
      <c r="F4" s="63"/>
      <c r="G4" s="63"/>
      <c r="H4" s="64"/>
      <c r="I4" s="1"/>
    </row>
    <row r="5" spans="1:11" ht="15.75" customHeight="1" thickBot="1" x14ac:dyDescent="0.25">
      <c r="B5" s="65"/>
      <c r="C5" s="66"/>
      <c r="D5" s="66"/>
      <c r="E5" s="66"/>
      <c r="F5" s="66"/>
      <c r="G5" s="66"/>
      <c r="H5" s="67"/>
      <c r="I5" s="4"/>
    </row>
    <row r="6" spans="1:11" ht="30" customHeight="1" thickBot="1" x14ac:dyDescent="0.25">
      <c r="B6" s="5"/>
      <c r="C6" s="21"/>
      <c r="D6" s="22"/>
      <c r="E6" s="4"/>
      <c r="F6" s="4"/>
      <c r="G6" s="27" t="s">
        <v>7</v>
      </c>
      <c r="H6" s="28">
        <f>B8+I6+I7</f>
        <v>96000</v>
      </c>
      <c r="I6" s="17">
        <f>SUM(F11:F1026)</f>
        <v>96000</v>
      </c>
    </row>
    <row r="7" spans="1:11" s="20" customFormat="1" ht="30" customHeight="1" x14ac:dyDescent="0.25">
      <c r="A7" s="18"/>
      <c r="B7" s="58" t="s">
        <v>3</v>
      </c>
      <c r="C7" s="59"/>
      <c r="D7" s="23" t="s">
        <v>4</v>
      </c>
      <c r="E7" s="24" t="s">
        <v>1</v>
      </c>
      <c r="F7" s="25" t="s">
        <v>13</v>
      </c>
      <c r="G7" s="29" t="s">
        <v>6</v>
      </c>
      <c r="H7" s="30">
        <f>SUM(D11:D1026)</f>
        <v>1405264.5430065824</v>
      </c>
      <c r="I7" s="19">
        <f>SUM(G11:G1026)</f>
        <v>0</v>
      </c>
    </row>
    <row r="8" spans="1:11" ht="30" customHeight="1" thickBot="1" x14ac:dyDescent="0.25">
      <c r="B8" s="60"/>
      <c r="C8" s="61"/>
      <c r="D8" s="52">
        <v>200</v>
      </c>
      <c r="E8" s="26">
        <v>480</v>
      </c>
      <c r="F8" s="53">
        <v>8.8000000000000005E-3</v>
      </c>
      <c r="G8" s="31" t="s">
        <v>8</v>
      </c>
      <c r="H8" s="32">
        <f>H7+H6</f>
        <v>1501264.5430065824</v>
      </c>
      <c r="I8" s="4"/>
    </row>
    <row r="9" spans="1:11" ht="3" customHeight="1" x14ac:dyDescent="0.2">
      <c r="B9" s="14"/>
      <c r="C9" s="5"/>
      <c r="D9" s="5"/>
      <c r="E9" s="35" t="str">
        <f>CONCATENATE(E8/12," ANOS")</f>
        <v>40 ANOS</v>
      </c>
      <c r="F9" s="5"/>
      <c r="G9" s="5"/>
      <c r="H9" s="6"/>
      <c r="I9" s="7"/>
    </row>
    <row r="10" spans="1:11" s="34" customFormat="1" ht="27" customHeight="1" thickBot="1" x14ac:dyDescent="0.3">
      <c r="A10" s="33"/>
      <c r="B10" s="44" t="s">
        <v>10</v>
      </c>
      <c r="C10" s="45" t="s">
        <v>2</v>
      </c>
      <c r="D10" s="45" t="s">
        <v>0</v>
      </c>
      <c r="E10" s="45" t="s">
        <v>12</v>
      </c>
      <c r="F10" s="45" t="s">
        <v>4</v>
      </c>
      <c r="G10" s="45" t="s">
        <v>11</v>
      </c>
      <c r="H10" s="45" t="s">
        <v>5</v>
      </c>
      <c r="I10" s="33"/>
    </row>
    <row r="11" spans="1:11" ht="14.25" customHeight="1" x14ac:dyDescent="0.2">
      <c r="B11" s="46">
        <f>IF(J11&gt;0,1,0)</f>
        <v>1</v>
      </c>
      <c r="C11" s="36">
        <f>IF(B11&gt;0,B8,0)</f>
        <v>0</v>
      </c>
      <c r="D11" s="36">
        <f t="shared" ref="D11:D58" si="0">IF(B11&gt;0,C11*$F$8,0)</f>
        <v>0</v>
      </c>
      <c r="E11" s="36">
        <f>IF(B12&gt;0,C11+D11,0)</f>
        <v>0</v>
      </c>
      <c r="F11" s="36">
        <f t="shared" ref="F11:F58" si="1">IF(B11&gt;0,$D$8,0)</f>
        <v>200</v>
      </c>
      <c r="G11" s="37"/>
      <c r="H11" s="38">
        <f t="shared" ref="H11:H58" si="2">IF(B11&gt;0,E11+F11+G11,0)</f>
        <v>200</v>
      </c>
      <c r="I11" s="4"/>
      <c r="J11" s="13" t="s">
        <v>9</v>
      </c>
    </row>
    <row r="12" spans="1:11" ht="14.25" customHeight="1" x14ac:dyDescent="0.2">
      <c r="B12" s="47">
        <f t="shared" ref="B12:B58" si="3">IF(AND(B11&gt;0,B11&lt;E$8),B11+1,0)</f>
        <v>2</v>
      </c>
      <c r="C12" s="8">
        <f t="shared" ref="C12:C58" si="4">IF(B12&gt;0,H11,0)</f>
        <v>200</v>
      </c>
      <c r="D12" s="8">
        <f t="shared" si="0"/>
        <v>1.76</v>
      </c>
      <c r="E12" s="8">
        <f t="shared" ref="E12:E58" si="5">IF(B12&gt;0,C12+D12,0)</f>
        <v>201.76</v>
      </c>
      <c r="F12" s="8">
        <f t="shared" si="1"/>
        <v>200</v>
      </c>
      <c r="G12" s="16"/>
      <c r="H12" s="39">
        <f t="shared" si="2"/>
        <v>401.76</v>
      </c>
      <c r="I12" s="4"/>
      <c r="J12" s="15"/>
      <c r="K12" s="15"/>
    </row>
    <row r="13" spans="1:11" ht="14.25" customHeight="1" x14ac:dyDescent="0.2">
      <c r="B13" s="47">
        <f t="shared" si="3"/>
        <v>3</v>
      </c>
      <c r="C13" s="8">
        <f t="shared" si="4"/>
        <v>401.76</v>
      </c>
      <c r="D13" s="8">
        <f t="shared" si="0"/>
        <v>3.535488</v>
      </c>
      <c r="E13" s="8">
        <f t="shared" si="5"/>
        <v>405.29548799999998</v>
      </c>
      <c r="F13" s="8">
        <f t="shared" si="1"/>
        <v>200</v>
      </c>
      <c r="G13" s="16"/>
      <c r="H13" s="39">
        <f t="shared" si="2"/>
        <v>605.29548799999998</v>
      </c>
      <c r="I13" s="4"/>
      <c r="J13" s="2"/>
      <c r="K13" s="11"/>
    </row>
    <row r="14" spans="1:11" ht="14.25" customHeight="1" x14ac:dyDescent="0.2">
      <c r="B14" s="48">
        <f t="shared" si="3"/>
        <v>4</v>
      </c>
      <c r="C14" s="9">
        <f t="shared" si="4"/>
        <v>605.29548799999998</v>
      </c>
      <c r="D14" s="9">
        <f t="shared" si="0"/>
        <v>5.3266002944000004</v>
      </c>
      <c r="E14" s="9">
        <f t="shared" si="5"/>
        <v>610.62208829439999</v>
      </c>
      <c r="F14" s="8">
        <f t="shared" si="1"/>
        <v>200</v>
      </c>
      <c r="G14" s="16"/>
      <c r="H14" s="39">
        <f t="shared" si="2"/>
        <v>810.62208829439999</v>
      </c>
      <c r="I14" s="4"/>
      <c r="J14" s="2"/>
      <c r="K14" s="11"/>
    </row>
    <row r="15" spans="1:11" ht="14.25" customHeight="1" x14ac:dyDescent="0.2">
      <c r="B15" s="48">
        <f t="shared" si="3"/>
        <v>5</v>
      </c>
      <c r="C15" s="9">
        <f t="shared" si="4"/>
        <v>810.62208829439999</v>
      </c>
      <c r="D15" s="9">
        <f t="shared" si="0"/>
        <v>7.1334743769907201</v>
      </c>
      <c r="E15" s="9">
        <f t="shared" si="5"/>
        <v>817.75556267139075</v>
      </c>
      <c r="F15" s="8">
        <f t="shared" si="1"/>
        <v>200</v>
      </c>
      <c r="G15" s="16"/>
      <c r="H15" s="39">
        <f t="shared" si="2"/>
        <v>1017.7555626713907</v>
      </c>
      <c r="I15" s="4"/>
      <c r="J15" s="2"/>
      <c r="K15" s="11"/>
    </row>
    <row r="16" spans="1:11" ht="14.25" customHeight="1" x14ac:dyDescent="0.2">
      <c r="B16" s="48">
        <f t="shared" si="3"/>
        <v>6</v>
      </c>
      <c r="C16" s="9">
        <f t="shared" si="4"/>
        <v>1017.7555626713907</v>
      </c>
      <c r="D16" s="9">
        <f t="shared" si="0"/>
        <v>8.9562489515082397</v>
      </c>
      <c r="E16" s="9">
        <f t="shared" si="5"/>
        <v>1026.7118116228989</v>
      </c>
      <c r="F16" s="8">
        <f t="shared" si="1"/>
        <v>200</v>
      </c>
      <c r="G16" s="16"/>
      <c r="H16" s="39">
        <f t="shared" si="2"/>
        <v>1226.7118116228989</v>
      </c>
      <c r="I16" s="4"/>
      <c r="J16" s="2"/>
      <c r="K16" s="11"/>
    </row>
    <row r="17" spans="2:11" ht="14.25" customHeight="1" x14ac:dyDescent="0.2">
      <c r="B17" s="47">
        <f t="shared" si="3"/>
        <v>7</v>
      </c>
      <c r="C17" s="8">
        <f t="shared" si="4"/>
        <v>1226.7118116228989</v>
      </c>
      <c r="D17" s="8">
        <f t="shared" si="0"/>
        <v>10.795063942281512</v>
      </c>
      <c r="E17" s="8">
        <f t="shared" si="5"/>
        <v>1237.5068755651805</v>
      </c>
      <c r="F17" s="8">
        <f t="shared" si="1"/>
        <v>200</v>
      </c>
      <c r="G17" s="16"/>
      <c r="H17" s="39">
        <f t="shared" si="2"/>
        <v>1437.5068755651805</v>
      </c>
      <c r="I17" s="4"/>
      <c r="J17" s="2"/>
      <c r="K17" s="11"/>
    </row>
    <row r="18" spans="2:11" ht="14.25" customHeight="1" x14ac:dyDescent="0.2">
      <c r="B18" s="47">
        <f t="shared" si="3"/>
        <v>8</v>
      </c>
      <c r="C18" s="8">
        <f t="shared" si="4"/>
        <v>1437.5068755651805</v>
      </c>
      <c r="D18" s="8">
        <f t="shared" si="0"/>
        <v>12.65006050497359</v>
      </c>
      <c r="E18" s="8">
        <f t="shared" si="5"/>
        <v>1450.1569360701542</v>
      </c>
      <c r="F18" s="8">
        <f t="shared" si="1"/>
        <v>200</v>
      </c>
      <c r="G18" s="16"/>
      <c r="H18" s="39">
        <f t="shared" si="2"/>
        <v>1650.1569360701542</v>
      </c>
      <c r="I18" s="4"/>
      <c r="J18" s="2"/>
      <c r="K18" s="11"/>
    </row>
    <row r="19" spans="2:11" ht="14.25" customHeight="1" x14ac:dyDescent="0.2">
      <c r="B19" s="47">
        <f t="shared" si="3"/>
        <v>9</v>
      </c>
      <c r="C19" s="8">
        <f t="shared" si="4"/>
        <v>1650.1569360701542</v>
      </c>
      <c r="D19" s="8">
        <f t="shared" si="0"/>
        <v>14.521381037417358</v>
      </c>
      <c r="E19" s="8">
        <f t="shared" si="5"/>
        <v>1664.6783171075715</v>
      </c>
      <c r="F19" s="8">
        <f t="shared" si="1"/>
        <v>200</v>
      </c>
      <c r="G19" s="16"/>
      <c r="H19" s="39">
        <f t="shared" si="2"/>
        <v>1864.6783171075715</v>
      </c>
      <c r="I19" s="4"/>
      <c r="J19" s="2"/>
      <c r="K19" s="11"/>
    </row>
    <row r="20" spans="2:11" ht="14.25" customHeight="1" x14ac:dyDescent="0.2">
      <c r="B20" s="48">
        <f t="shared" si="3"/>
        <v>10</v>
      </c>
      <c r="C20" s="9">
        <f t="shared" si="4"/>
        <v>1864.6783171075715</v>
      </c>
      <c r="D20" s="9">
        <f t="shared" si="0"/>
        <v>16.409169190546631</v>
      </c>
      <c r="E20" s="9">
        <f t="shared" si="5"/>
        <v>1881.0874862981182</v>
      </c>
      <c r="F20" s="8">
        <f t="shared" si="1"/>
        <v>200</v>
      </c>
      <c r="G20" s="16"/>
      <c r="H20" s="39">
        <f t="shared" si="2"/>
        <v>2081.0874862981182</v>
      </c>
      <c r="I20" s="4"/>
      <c r="J20" s="2"/>
      <c r="K20" s="11"/>
    </row>
    <row r="21" spans="2:11" ht="14.25" customHeight="1" x14ac:dyDescent="0.2">
      <c r="B21" s="48">
        <f t="shared" si="3"/>
        <v>11</v>
      </c>
      <c r="C21" s="9">
        <f t="shared" si="4"/>
        <v>2081.0874862981182</v>
      </c>
      <c r="D21" s="9">
        <f t="shared" si="0"/>
        <v>18.31356987942344</v>
      </c>
      <c r="E21" s="9">
        <f t="shared" si="5"/>
        <v>2099.4010561775417</v>
      </c>
      <c r="F21" s="8">
        <f t="shared" si="1"/>
        <v>200</v>
      </c>
      <c r="G21" s="16"/>
      <c r="H21" s="39">
        <f t="shared" si="2"/>
        <v>2299.4010561775417</v>
      </c>
      <c r="I21" s="4"/>
      <c r="J21" s="12"/>
      <c r="K21" s="11"/>
    </row>
    <row r="22" spans="2:11" ht="14.25" customHeight="1" thickBot="1" x14ac:dyDescent="0.25">
      <c r="B22" s="49">
        <f t="shared" si="3"/>
        <v>12</v>
      </c>
      <c r="C22" s="40">
        <f t="shared" si="4"/>
        <v>2299.4010561775417</v>
      </c>
      <c r="D22" s="40">
        <f t="shared" si="0"/>
        <v>20.234729294362367</v>
      </c>
      <c r="E22" s="40">
        <f t="shared" si="5"/>
        <v>2319.635785471904</v>
      </c>
      <c r="F22" s="41">
        <f t="shared" si="1"/>
        <v>200</v>
      </c>
      <c r="G22" s="42"/>
      <c r="H22" s="43">
        <f t="shared" si="2"/>
        <v>2519.635785471904</v>
      </c>
      <c r="I22" s="4"/>
      <c r="J22" s="12"/>
      <c r="K22" s="11"/>
    </row>
    <row r="23" spans="2:11" ht="14.25" customHeight="1" x14ac:dyDescent="0.2">
      <c r="B23" s="46">
        <f t="shared" si="3"/>
        <v>13</v>
      </c>
      <c r="C23" s="36">
        <f t="shared" si="4"/>
        <v>2519.635785471904</v>
      </c>
      <c r="D23" s="36">
        <f t="shared" si="0"/>
        <v>22.172794912152757</v>
      </c>
      <c r="E23" s="36">
        <f t="shared" si="5"/>
        <v>2541.8085803840568</v>
      </c>
      <c r="F23" s="36">
        <f t="shared" si="1"/>
        <v>200</v>
      </c>
      <c r="G23" s="37"/>
      <c r="H23" s="38">
        <f t="shared" si="2"/>
        <v>2741.8085803840568</v>
      </c>
      <c r="I23" s="4"/>
      <c r="J23" s="12"/>
      <c r="K23" s="11"/>
    </row>
    <row r="24" spans="2:11" ht="14.25" customHeight="1" x14ac:dyDescent="0.25">
      <c r="B24" s="47">
        <f t="shared" si="3"/>
        <v>14</v>
      </c>
      <c r="C24" s="8">
        <f t="shared" si="4"/>
        <v>2741.8085803840568</v>
      </c>
      <c r="D24" s="8">
        <f t="shared" si="0"/>
        <v>24.127915507379701</v>
      </c>
      <c r="E24" s="8">
        <f t="shared" si="5"/>
        <v>2765.9364958914366</v>
      </c>
      <c r="F24" s="8">
        <f t="shared" si="1"/>
        <v>200</v>
      </c>
      <c r="G24" s="16"/>
      <c r="H24" s="39">
        <f t="shared" si="2"/>
        <v>2965.9364958914366</v>
      </c>
      <c r="I24"/>
      <c r="J24" s="12"/>
    </row>
    <row r="25" spans="2:11" ht="14.25" customHeight="1" x14ac:dyDescent="0.2">
      <c r="B25" s="47">
        <f t="shared" si="3"/>
        <v>15</v>
      </c>
      <c r="C25" s="8">
        <f t="shared" si="4"/>
        <v>2965.9364958914366</v>
      </c>
      <c r="D25" s="8">
        <f t="shared" si="0"/>
        <v>26.100241163844643</v>
      </c>
      <c r="E25" s="8">
        <f t="shared" si="5"/>
        <v>2992.0367370552813</v>
      </c>
      <c r="F25" s="8">
        <f t="shared" si="1"/>
        <v>200</v>
      </c>
      <c r="G25" s="16"/>
      <c r="H25" s="39">
        <f t="shared" si="2"/>
        <v>3192.0367370552813</v>
      </c>
      <c r="I25" s="4"/>
    </row>
    <row r="26" spans="2:11" ht="14.25" customHeight="1" x14ac:dyDescent="0.2">
      <c r="B26" s="48">
        <f t="shared" si="3"/>
        <v>16</v>
      </c>
      <c r="C26" s="9">
        <f t="shared" si="4"/>
        <v>3192.0367370552813</v>
      </c>
      <c r="D26" s="9">
        <f t="shared" si="0"/>
        <v>28.089923286086478</v>
      </c>
      <c r="E26" s="9">
        <f t="shared" si="5"/>
        <v>3220.1266603413678</v>
      </c>
      <c r="F26" s="8">
        <f t="shared" si="1"/>
        <v>200</v>
      </c>
      <c r="G26" s="16"/>
      <c r="H26" s="39">
        <f t="shared" si="2"/>
        <v>3420.1266603413678</v>
      </c>
      <c r="I26" s="4"/>
    </row>
    <row r="27" spans="2:11" ht="14.25" customHeight="1" x14ac:dyDescent="0.2">
      <c r="B27" s="48">
        <f t="shared" si="3"/>
        <v>17</v>
      </c>
      <c r="C27" s="9">
        <f t="shared" si="4"/>
        <v>3420.1266603413678</v>
      </c>
      <c r="D27" s="9">
        <f t="shared" si="0"/>
        <v>30.097114611004038</v>
      </c>
      <c r="E27" s="9">
        <f t="shared" si="5"/>
        <v>3450.223774952372</v>
      </c>
      <c r="F27" s="8">
        <f t="shared" si="1"/>
        <v>200</v>
      </c>
      <c r="G27" s="16"/>
      <c r="H27" s="39">
        <f t="shared" si="2"/>
        <v>3650.223774952372</v>
      </c>
      <c r="I27" s="4"/>
    </row>
    <row r="28" spans="2:11" ht="14.25" customHeight="1" x14ac:dyDescent="0.2">
      <c r="B28" s="48">
        <f t="shared" si="3"/>
        <v>18</v>
      </c>
      <c r="C28" s="9">
        <f t="shared" si="4"/>
        <v>3650.223774952372</v>
      </c>
      <c r="D28" s="9">
        <f t="shared" si="0"/>
        <v>32.121969219580876</v>
      </c>
      <c r="E28" s="9">
        <f t="shared" si="5"/>
        <v>3682.3457441719529</v>
      </c>
      <c r="F28" s="8">
        <f t="shared" si="1"/>
        <v>200</v>
      </c>
      <c r="G28" s="16"/>
      <c r="H28" s="39">
        <f t="shared" si="2"/>
        <v>3882.3457441719529</v>
      </c>
      <c r="I28" s="4"/>
    </row>
    <row r="29" spans="2:11" ht="14.25" customHeight="1" x14ac:dyDescent="0.2">
      <c r="B29" s="47">
        <f t="shared" si="3"/>
        <v>19</v>
      </c>
      <c r="C29" s="8">
        <f t="shared" si="4"/>
        <v>3882.3457441719529</v>
      </c>
      <c r="D29" s="8">
        <f t="shared" si="0"/>
        <v>34.164642548713189</v>
      </c>
      <c r="E29" s="8">
        <f t="shared" si="5"/>
        <v>3916.5103867206662</v>
      </c>
      <c r="F29" s="8">
        <f t="shared" si="1"/>
        <v>200</v>
      </c>
      <c r="G29" s="16"/>
      <c r="H29" s="39">
        <f t="shared" si="2"/>
        <v>4116.5103867206662</v>
      </c>
      <c r="I29" s="4"/>
    </row>
    <row r="30" spans="2:11" ht="14.25" customHeight="1" x14ac:dyDescent="0.2">
      <c r="B30" s="47">
        <f t="shared" si="3"/>
        <v>20</v>
      </c>
      <c r="C30" s="8">
        <f t="shared" si="4"/>
        <v>4116.5103867206662</v>
      </c>
      <c r="D30" s="8">
        <f t="shared" si="0"/>
        <v>36.225291403141867</v>
      </c>
      <c r="E30" s="8">
        <f t="shared" si="5"/>
        <v>4152.7356781238077</v>
      </c>
      <c r="F30" s="8">
        <f t="shared" si="1"/>
        <v>200</v>
      </c>
      <c r="G30" s="16"/>
      <c r="H30" s="39">
        <f t="shared" si="2"/>
        <v>4352.7356781238077</v>
      </c>
      <c r="I30" s="4"/>
    </row>
    <row r="31" spans="2:11" ht="14.25" customHeight="1" x14ac:dyDescent="0.2">
      <c r="B31" s="47">
        <f t="shared" si="3"/>
        <v>21</v>
      </c>
      <c r="C31" s="8">
        <f t="shared" si="4"/>
        <v>4352.7356781238077</v>
      </c>
      <c r="D31" s="8">
        <f t="shared" si="0"/>
        <v>38.304073967489508</v>
      </c>
      <c r="E31" s="8">
        <f t="shared" si="5"/>
        <v>4391.0397520912975</v>
      </c>
      <c r="F31" s="8">
        <f t="shared" si="1"/>
        <v>200</v>
      </c>
      <c r="G31" s="16"/>
      <c r="H31" s="39">
        <f t="shared" si="2"/>
        <v>4591.0397520912975</v>
      </c>
      <c r="I31" s="4"/>
    </row>
    <row r="32" spans="2:11" ht="14.25" customHeight="1" x14ac:dyDescent="0.2">
      <c r="B32" s="48">
        <f t="shared" si="3"/>
        <v>22</v>
      </c>
      <c r="C32" s="9">
        <f t="shared" si="4"/>
        <v>4591.0397520912975</v>
      </c>
      <c r="D32" s="9">
        <f t="shared" si="0"/>
        <v>40.401149818403418</v>
      </c>
      <c r="E32" s="9">
        <f t="shared" si="5"/>
        <v>4631.4409019097011</v>
      </c>
      <c r="F32" s="8">
        <f t="shared" si="1"/>
        <v>200</v>
      </c>
      <c r="G32" s="16"/>
      <c r="H32" s="39">
        <f t="shared" si="2"/>
        <v>4831.4409019097011</v>
      </c>
      <c r="I32" s="4"/>
    </row>
    <row r="33" spans="2:9" ht="14.25" customHeight="1" x14ac:dyDescent="0.2">
      <c r="B33" s="48">
        <f t="shared" si="3"/>
        <v>23</v>
      </c>
      <c r="C33" s="9">
        <f t="shared" si="4"/>
        <v>4831.4409019097011</v>
      </c>
      <c r="D33" s="9">
        <f t="shared" si="0"/>
        <v>42.516679936805374</v>
      </c>
      <c r="E33" s="9">
        <f t="shared" si="5"/>
        <v>4873.9575818465064</v>
      </c>
      <c r="F33" s="8">
        <f t="shared" si="1"/>
        <v>200</v>
      </c>
      <c r="G33" s="16"/>
      <c r="H33" s="39">
        <f t="shared" si="2"/>
        <v>5073.9575818465064</v>
      </c>
      <c r="I33" s="4"/>
    </row>
    <row r="34" spans="2:9" ht="14.25" customHeight="1" thickBot="1" x14ac:dyDescent="0.25">
      <c r="B34" s="49">
        <f t="shared" si="3"/>
        <v>24</v>
      </c>
      <c r="C34" s="40">
        <f t="shared" si="4"/>
        <v>5073.9575818465064</v>
      </c>
      <c r="D34" s="40">
        <f t="shared" si="0"/>
        <v>44.650826720249256</v>
      </c>
      <c r="E34" s="40">
        <f t="shared" si="5"/>
        <v>5118.6084085667553</v>
      </c>
      <c r="F34" s="41">
        <f t="shared" si="1"/>
        <v>200</v>
      </c>
      <c r="G34" s="42"/>
      <c r="H34" s="43">
        <f t="shared" si="2"/>
        <v>5318.6084085667553</v>
      </c>
      <c r="I34" s="4"/>
    </row>
    <row r="35" spans="2:9" ht="14.25" customHeight="1" x14ac:dyDescent="0.2">
      <c r="B35" s="46">
        <f t="shared" si="3"/>
        <v>25</v>
      </c>
      <c r="C35" s="36">
        <f t="shared" si="4"/>
        <v>5318.6084085667553</v>
      </c>
      <c r="D35" s="36">
        <f t="shared" si="0"/>
        <v>46.803753995387453</v>
      </c>
      <c r="E35" s="36">
        <f t="shared" si="5"/>
        <v>5365.4121625621428</v>
      </c>
      <c r="F35" s="36">
        <f t="shared" si="1"/>
        <v>200</v>
      </c>
      <c r="G35" s="37"/>
      <c r="H35" s="38">
        <f t="shared" si="2"/>
        <v>5565.4121625621428</v>
      </c>
      <c r="I35" s="4"/>
    </row>
    <row r="36" spans="2:9" ht="14.25" customHeight="1" x14ac:dyDescent="0.2">
      <c r="B36" s="47">
        <f t="shared" si="3"/>
        <v>26</v>
      </c>
      <c r="C36" s="8">
        <f t="shared" si="4"/>
        <v>5565.4121625621428</v>
      </c>
      <c r="D36" s="8">
        <f t="shared" si="0"/>
        <v>48.97562703054686</v>
      </c>
      <c r="E36" s="8">
        <f t="shared" si="5"/>
        <v>5614.3877895926898</v>
      </c>
      <c r="F36" s="8">
        <f t="shared" si="1"/>
        <v>200</v>
      </c>
      <c r="G36" s="16"/>
      <c r="H36" s="39">
        <f t="shared" si="2"/>
        <v>5814.3877895926898</v>
      </c>
      <c r="I36" s="4"/>
    </row>
    <row r="37" spans="2:9" ht="14.25" customHeight="1" x14ac:dyDescent="0.2">
      <c r="B37" s="47">
        <f t="shared" si="3"/>
        <v>27</v>
      </c>
      <c r="C37" s="8">
        <f t="shared" si="4"/>
        <v>5814.3877895926898</v>
      </c>
      <c r="D37" s="8">
        <f t="shared" si="0"/>
        <v>51.166612548415671</v>
      </c>
      <c r="E37" s="8">
        <f t="shared" si="5"/>
        <v>5865.5544021411051</v>
      </c>
      <c r="F37" s="8">
        <f t="shared" si="1"/>
        <v>200</v>
      </c>
      <c r="G37" s="16"/>
      <c r="H37" s="39">
        <f t="shared" si="2"/>
        <v>6065.5544021411051</v>
      </c>
      <c r="I37" s="4"/>
    </row>
    <row r="38" spans="2:9" ht="14.25" customHeight="1" x14ac:dyDescent="0.2">
      <c r="B38" s="48">
        <f t="shared" si="3"/>
        <v>28</v>
      </c>
      <c r="C38" s="9">
        <f t="shared" si="4"/>
        <v>6065.5544021411051</v>
      </c>
      <c r="D38" s="9">
        <f t="shared" si="0"/>
        <v>53.376878738841725</v>
      </c>
      <c r="E38" s="9">
        <f t="shared" si="5"/>
        <v>6118.9312808799468</v>
      </c>
      <c r="F38" s="8">
        <f t="shared" si="1"/>
        <v>200</v>
      </c>
      <c r="G38" s="16"/>
      <c r="H38" s="39">
        <f t="shared" si="2"/>
        <v>6318.9312808799468</v>
      </c>
      <c r="I38" s="4"/>
    </row>
    <row r="39" spans="2:9" ht="14.25" customHeight="1" x14ac:dyDescent="0.2">
      <c r="B39" s="48">
        <f t="shared" si="3"/>
        <v>29</v>
      </c>
      <c r="C39" s="9">
        <f t="shared" si="4"/>
        <v>6318.9312808799468</v>
      </c>
      <c r="D39" s="9">
        <f t="shared" si="0"/>
        <v>55.606595271743537</v>
      </c>
      <c r="E39" s="9">
        <f t="shared" si="5"/>
        <v>6374.5378761516904</v>
      </c>
      <c r="F39" s="8">
        <f t="shared" si="1"/>
        <v>200</v>
      </c>
      <c r="G39" s="16"/>
      <c r="H39" s="39">
        <f t="shared" si="2"/>
        <v>6574.5378761516904</v>
      </c>
      <c r="I39" s="4"/>
    </row>
    <row r="40" spans="2:9" ht="14.25" customHeight="1" x14ac:dyDescent="0.2">
      <c r="B40" s="48">
        <f t="shared" si="3"/>
        <v>30</v>
      </c>
      <c r="C40" s="9">
        <f t="shared" si="4"/>
        <v>6574.5378761516904</v>
      </c>
      <c r="D40" s="9">
        <f t="shared" si="0"/>
        <v>57.85593331013488</v>
      </c>
      <c r="E40" s="9">
        <f t="shared" si="5"/>
        <v>6632.3938094618252</v>
      </c>
      <c r="F40" s="8">
        <f t="shared" si="1"/>
        <v>200</v>
      </c>
      <c r="G40" s="16"/>
      <c r="H40" s="39">
        <f t="shared" si="2"/>
        <v>6832.3938094618252</v>
      </c>
      <c r="I40" s="4"/>
    </row>
    <row r="41" spans="2:9" ht="14.25" customHeight="1" x14ac:dyDescent="0.2">
      <c r="B41" s="47">
        <f t="shared" si="3"/>
        <v>31</v>
      </c>
      <c r="C41" s="8">
        <f t="shared" si="4"/>
        <v>6832.3938094618252</v>
      </c>
      <c r="D41" s="8">
        <f t="shared" si="0"/>
        <v>60.125065523264063</v>
      </c>
      <c r="E41" s="8">
        <f t="shared" si="5"/>
        <v>6892.5188749850895</v>
      </c>
      <c r="F41" s="8">
        <f t="shared" si="1"/>
        <v>200</v>
      </c>
      <c r="G41" s="16"/>
      <c r="H41" s="39">
        <f t="shared" si="2"/>
        <v>7092.5188749850895</v>
      </c>
      <c r="I41" s="4"/>
    </row>
    <row r="42" spans="2:9" ht="14.25" customHeight="1" x14ac:dyDescent="0.2">
      <c r="B42" s="47">
        <f t="shared" si="3"/>
        <v>32</v>
      </c>
      <c r="C42" s="8">
        <f t="shared" si="4"/>
        <v>7092.5188749850895</v>
      </c>
      <c r="D42" s="8">
        <f t="shared" si="0"/>
        <v>62.414166099868794</v>
      </c>
      <c r="E42" s="8">
        <f t="shared" si="5"/>
        <v>7154.9330410849579</v>
      </c>
      <c r="F42" s="8">
        <f t="shared" si="1"/>
        <v>200</v>
      </c>
      <c r="G42" s="16"/>
      <c r="H42" s="39">
        <f t="shared" si="2"/>
        <v>7354.9330410849579</v>
      </c>
      <c r="I42" s="4"/>
    </row>
    <row r="43" spans="2:9" ht="14.25" customHeight="1" x14ac:dyDescent="0.2">
      <c r="B43" s="47">
        <f t="shared" si="3"/>
        <v>33</v>
      </c>
      <c r="C43" s="8">
        <f t="shared" si="4"/>
        <v>7354.9330410849579</v>
      </c>
      <c r="D43" s="8">
        <f t="shared" si="0"/>
        <v>64.72341076154764</v>
      </c>
      <c r="E43" s="8">
        <f t="shared" si="5"/>
        <v>7419.6564518465057</v>
      </c>
      <c r="F43" s="8">
        <f t="shared" si="1"/>
        <v>200</v>
      </c>
      <c r="G43" s="16"/>
      <c r="H43" s="39">
        <f t="shared" si="2"/>
        <v>7619.6564518465057</v>
      </c>
      <c r="I43" s="4"/>
    </row>
    <row r="44" spans="2:9" ht="14.25" customHeight="1" x14ac:dyDescent="0.2">
      <c r="B44" s="48">
        <f t="shared" si="3"/>
        <v>34</v>
      </c>
      <c r="C44" s="9">
        <f t="shared" si="4"/>
        <v>7619.6564518465057</v>
      </c>
      <c r="D44" s="9">
        <f t="shared" si="0"/>
        <v>67.052976776249253</v>
      </c>
      <c r="E44" s="9">
        <f t="shared" si="5"/>
        <v>7686.7094286227548</v>
      </c>
      <c r="F44" s="8">
        <f t="shared" si="1"/>
        <v>200</v>
      </c>
      <c r="G44" s="16"/>
      <c r="H44" s="39">
        <f t="shared" si="2"/>
        <v>7886.7094286227548</v>
      </c>
      <c r="I44" s="4"/>
    </row>
    <row r="45" spans="2:9" ht="14.25" customHeight="1" x14ac:dyDescent="0.2">
      <c r="B45" s="48">
        <f t="shared" si="3"/>
        <v>35</v>
      </c>
      <c r="C45" s="9">
        <f t="shared" si="4"/>
        <v>7886.7094286227548</v>
      </c>
      <c r="D45" s="9">
        <f t="shared" si="0"/>
        <v>69.40304297188024</v>
      </c>
      <c r="E45" s="9">
        <f t="shared" si="5"/>
        <v>7956.1124715946353</v>
      </c>
      <c r="F45" s="8">
        <f t="shared" si="1"/>
        <v>200</v>
      </c>
      <c r="G45" s="16"/>
      <c r="H45" s="39">
        <f t="shared" si="2"/>
        <v>8156.1124715946353</v>
      </c>
      <c r="I45" s="4"/>
    </row>
    <row r="46" spans="2:9" ht="14.25" customHeight="1" thickBot="1" x14ac:dyDescent="0.25">
      <c r="B46" s="49">
        <f t="shared" si="3"/>
        <v>36</v>
      </c>
      <c r="C46" s="40">
        <f t="shared" si="4"/>
        <v>8156.1124715946353</v>
      </c>
      <c r="D46" s="40">
        <f t="shared" si="0"/>
        <v>71.77378975003279</v>
      </c>
      <c r="E46" s="40">
        <f t="shared" si="5"/>
        <v>8227.8862613446672</v>
      </c>
      <c r="F46" s="41">
        <f t="shared" si="1"/>
        <v>200</v>
      </c>
      <c r="G46" s="42"/>
      <c r="H46" s="43">
        <f t="shared" si="2"/>
        <v>8427.8862613446672</v>
      </c>
      <c r="I46" s="4"/>
    </row>
    <row r="47" spans="2:9" ht="14.25" customHeight="1" x14ac:dyDescent="0.2">
      <c r="B47" s="46">
        <f t="shared" si="3"/>
        <v>37</v>
      </c>
      <c r="C47" s="36">
        <f t="shared" si="4"/>
        <v>8427.8862613446672</v>
      </c>
      <c r="D47" s="36">
        <f t="shared" si="0"/>
        <v>74.165399099833081</v>
      </c>
      <c r="E47" s="36">
        <f t="shared" si="5"/>
        <v>8502.0516604445002</v>
      </c>
      <c r="F47" s="36">
        <f t="shared" si="1"/>
        <v>200</v>
      </c>
      <c r="G47" s="37"/>
      <c r="H47" s="38">
        <f t="shared" si="2"/>
        <v>8702.0516604445002</v>
      </c>
      <c r="I47" s="4"/>
    </row>
    <row r="48" spans="2:9" ht="14.25" customHeight="1" x14ac:dyDescent="0.2">
      <c r="B48" s="47">
        <f t="shared" si="3"/>
        <v>38</v>
      </c>
      <c r="C48" s="8">
        <f t="shared" si="4"/>
        <v>8702.0516604445002</v>
      </c>
      <c r="D48" s="8">
        <f t="shared" si="0"/>
        <v>76.578054611911611</v>
      </c>
      <c r="E48" s="8">
        <f t="shared" si="5"/>
        <v>8778.6297150564114</v>
      </c>
      <c r="F48" s="8">
        <f t="shared" si="1"/>
        <v>200</v>
      </c>
      <c r="G48" s="16"/>
      <c r="H48" s="39">
        <f t="shared" si="2"/>
        <v>8978.6297150564114</v>
      </c>
      <c r="I48" s="4"/>
    </row>
    <row r="49" spans="2:9" ht="14.25" customHeight="1" x14ac:dyDescent="0.2">
      <c r="B49" s="47">
        <f t="shared" si="3"/>
        <v>39</v>
      </c>
      <c r="C49" s="8">
        <f t="shared" si="4"/>
        <v>8978.6297150564114</v>
      </c>
      <c r="D49" s="8">
        <f t="shared" si="0"/>
        <v>79.011941492496419</v>
      </c>
      <c r="E49" s="8">
        <f t="shared" si="5"/>
        <v>9057.6416565489071</v>
      </c>
      <c r="F49" s="8">
        <f t="shared" si="1"/>
        <v>200</v>
      </c>
      <c r="G49" s="16"/>
      <c r="H49" s="39">
        <f t="shared" si="2"/>
        <v>9257.6416565489071</v>
      </c>
      <c r="I49" s="4"/>
    </row>
    <row r="50" spans="2:9" ht="14.25" customHeight="1" x14ac:dyDescent="0.2">
      <c r="B50" s="48">
        <f t="shared" si="3"/>
        <v>40</v>
      </c>
      <c r="C50" s="9">
        <f t="shared" si="4"/>
        <v>9257.6416565489071</v>
      </c>
      <c r="D50" s="9">
        <f t="shared" si="0"/>
        <v>81.467246577630391</v>
      </c>
      <c r="E50" s="9">
        <f t="shared" si="5"/>
        <v>9339.1089031265383</v>
      </c>
      <c r="F50" s="8">
        <f t="shared" si="1"/>
        <v>200</v>
      </c>
      <c r="G50" s="16"/>
      <c r="H50" s="39">
        <f t="shared" si="2"/>
        <v>9539.1089031265383</v>
      </c>
      <c r="I50" s="4"/>
    </row>
    <row r="51" spans="2:9" ht="14.25" customHeight="1" x14ac:dyDescent="0.2">
      <c r="B51" s="48">
        <f t="shared" si="3"/>
        <v>41</v>
      </c>
      <c r="C51" s="9">
        <f t="shared" si="4"/>
        <v>9539.1089031265383</v>
      </c>
      <c r="D51" s="9">
        <f t="shared" si="0"/>
        <v>83.944158347513536</v>
      </c>
      <c r="E51" s="9">
        <f t="shared" si="5"/>
        <v>9623.053061474051</v>
      </c>
      <c r="F51" s="8">
        <f t="shared" si="1"/>
        <v>200</v>
      </c>
      <c r="G51" s="16"/>
      <c r="H51" s="39">
        <f t="shared" si="2"/>
        <v>9823.053061474051</v>
      </c>
      <c r="I51" s="4"/>
    </row>
    <row r="52" spans="2:9" ht="14.25" customHeight="1" x14ac:dyDescent="0.2">
      <c r="B52" s="48">
        <f t="shared" si="3"/>
        <v>42</v>
      </c>
      <c r="C52" s="9">
        <f t="shared" si="4"/>
        <v>9823.053061474051</v>
      </c>
      <c r="D52" s="9">
        <f t="shared" si="0"/>
        <v>86.442866940971655</v>
      </c>
      <c r="E52" s="9">
        <f t="shared" si="5"/>
        <v>9909.4959284150227</v>
      </c>
      <c r="F52" s="8">
        <f t="shared" si="1"/>
        <v>200</v>
      </c>
      <c r="G52" s="16"/>
      <c r="H52" s="39">
        <f t="shared" si="2"/>
        <v>10109.495928415023</v>
      </c>
      <c r="I52" s="4"/>
    </row>
    <row r="53" spans="2:9" ht="14.25" customHeight="1" x14ac:dyDescent="0.2">
      <c r="B53" s="47">
        <f t="shared" si="3"/>
        <v>43</v>
      </c>
      <c r="C53" s="8">
        <f t="shared" si="4"/>
        <v>10109.495928415023</v>
      </c>
      <c r="D53" s="8">
        <f t="shared" si="0"/>
        <v>88.963564170052209</v>
      </c>
      <c r="E53" s="8">
        <f t="shared" si="5"/>
        <v>10198.459492585074</v>
      </c>
      <c r="F53" s="8">
        <f t="shared" si="1"/>
        <v>200</v>
      </c>
      <c r="G53" s="16"/>
      <c r="H53" s="39">
        <f t="shared" si="2"/>
        <v>10398.459492585074</v>
      </c>
      <c r="I53" s="4"/>
    </row>
    <row r="54" spans="2:9" ht="14.25" customHeight="1" x14ac:dyDescent="0.2">
      <c r="B54" s="47">
        <f t="shared" si="3"/>
        <v>44</v>
      </c>
      <c r="C54" s="8">
        <f t="shared" si="4"/>
        <v>10398.459492585074</v>
      </c>
      <c r="D54" s="8">
        <f t="shared" si="0"/>
        <v>91.506443534748655</v>
      </c>
      <c r="E54" s="8">
        <f t="shared" si="5"/>
        <v>10489.965936119823</v>
      </c>
      <c r="F54" s="8">
        <f t="shared" si="1"/>
        <v>200</v>
      </c>
      <c r="G54" s="16"/>
      <c r="H54" s="39">
        <f t="shared" si="2"/>
        <v>10689.965936119823</v>
      </c>
      <c r="I54" s="4"/>
    </row>
    <row r="55" spans="2:9" ht="14.25" customHeight="1" x14ac:dyDescent="0.2">
      <c r="B55" s="47">
        <f t="shared" si="3"/>
        <v>45</v>
      </c>
      <c r="C55" s="8">
        <f t="shared" si="4"/>
        <v>10689.965936119823</v>
      </c>
      <c r="D55" s="8">
        <f t="shared" si="0"/>
        <v>94.071700237854444</v>
      </c>
      <c r="E55" s="8">
        <f t="shared" si="5"/>
        <v>10784.037636357678</v>
      </c>
      <c r="F55" s="8">
        <f t="shared" si="1"/>
        <v>200</v>
      </c>
      <c r="G55" s="16"/>
      <c r="H55" s="39">
        <f t="shared" si="2"/>
        <v>10984.037636357678</v>
      </c>
      <c r="I55" s="4"/>
    </row>
    <row r="56" spans="2:9" ht="14.25" customHeight="1" x14ac:dyDescent="0.2">
      <c r="B56" s="48">
        <f t="shared" si="3"/>
        <v>46</v>
      </c>
      <c r="C56" s="9">
        <f t="shared" si="4"/>
        <v>10984.037636357678</v>
      </c>
      <c r="D56" s="9">
        <f t="shared" si="0"/>
        <v>96.659531199947565</v>
      </c>
      <c r="E56" s="9">
        <f t="shared" si="5"/>
        <v>11080.697167557626</v>
      </c>
      <c r="F56" s="8">
        <f t="shared" si="1"/>
        <v>200</v>
      </c>
      <c r="G56" s="16"/>
      <c r="H56" s="39">
        <f t="shared" si="2"/>
        <v>11280.697167557626</v>
      </c>
      <c r="I56" s="4"/>
    </row>
    <row r="57" spans="2:9" ht="14.25" customHeight="1" x14ac:dyDescent="0.2">
      <c r="B57" s="48">
        <f t="shared" si="3"/>
        <v>47</v>
      </c>
      <c r="C57" s="9">
        <f t="shared" si="4"/>
        <v>11280.697167557626</v>
      </c>
      <c r="D57" s="9">
        <f t="shared" si="0"/>
        <v>99.27013507450711</v>
      </c>
      <c r="E57" s="9">
        <f t="shared" si="5"/>
        <v>11379.967302632132</v>
      </c>
      <c r="F57" s="8">
        <f t="shared" si="1"/>
        <v>200</v>
      </c>
      <c r="G57" s="16"/>
      <c r="H57" s="39">
        <f t="shared" si="2"/>
        <v>11579.967302632132</v>
      </c>
      <c r="I57" s="4"/>
    </row>
    <row r="58" spans="2:9" ht="14.25" customHeight="1" thickBot="1" x14ac:dyDescent="0.25">
      <c r="B58" s="49">
        <f t="shared" si="3"/>
        <v>48</v>
      </c>
      <c r="C58" s="40">
        <f t="shared" si="4"/>
        <v>11579.967302632132</v>
      </c>
      <c r="D58" s="40">
        <f t="shared" si="0"/>
        <v>101.90371226316277</v>
      </c>
      <c r="E58" s="40">
        <f t="shared" si="5"/>
        <v>11681.871014895296</v>
      </c>
      <c r="F58" s="41">
        <f t="shared" si="1"/>
        <v>200</v>
      </c>
      <c r="G58" s="42"/>
      <c r="H58" s="43">
        <f t="shared" si="2"/>
        <v>11881.871014895296</v>
      </c>
      <c r="I58" s="4"/>
    </row>
    <row r="59" spans="2:9" ht="14.25" customHeight="1" x14ac:dyDescent="0.2">
      <c r="B59" s="46">
        <f t="shared" ref="B59:B122" si="6">IF(AND(B58&gt;0,B58&lt;E$8),B58+1,0)</f>
        <v>49</v>
      </c>
      <c r="C59" s="36">
        <f t="shared" ref="C59:C122" si="7">IF(B59&gt;0,H58,0)</f>
        <v>11881.871014895296</v>
      </c>
      <c r="D59" s="36">
        <f t="shared" ref="D59:D122" si="8">IF(B59&gt;0,C59*$F$8,0)</f>
        <v>104.56046493107861</v>
      </c>
      <c r="E59" s="36">
        <f t="shared" ref="E59:E122" si="9">IF(B59&gt;0,C59+D59,0)</f>
        <v>11986.431479826375</v>
      </c>
      <c r="F59" s="36">
        <f t="shared" ref="F59:F122" si="10">IF(B59&gt;0,$D$8,0)</f>
        <v>200</v>
      </c>
      <c r="G59" s="37"/>
      <c r="H59" s="38">
        <f t="shared" ref="H59:H122" si="11">IF(B59&gt;0,E59+F59+G59,0)</f>
        <v>12186.431479826375</v>
      </c>
      <c r="I59" s="4"/>
    </row>
    <row r="60" spans="2:9" ht="14.25" customHeight="1" x14ac:dyDescent="0.2">
      <c r="B60" s="47">
        <f t="shared" si="6"/>
        <v>50</v>
      </c>
      <c r="C60" s="8">
        <f t="shared" si="7"/>
        <v>12186.431479826375</v>
      </c>
      <c r="D60" s="8">
        <f t="shared" si="8"/>
        <v>107.2405970224721</v>
      </c>
      <c r="E60" s="8">
        <f t="shared" si="9"/>
        <v>12293.672076848847</v>
      </c>
      <c r="F60" s="8">
        <f t="shared" si="10"/>
        <v>200</v>
      </c>
      <c r="G60" s="16"/>
      <c r="H60" s="39">
        <f t="shared" si="11"/>
        <v>12493.672076848847</v>
      </c>
      <c r="I60" s="4"/>
    </row>
    <row r="61" spans="2:9" ht="14.25" customHeight="1" x14ac:dyDescent="0.2">
      <c r="B61" s="47">
        <f t="shared" si="6"/>
        <v>51</v>
      </c>
      <c r="C61" s="8">
        <f t="shared" si="7"/>
        <v>12493.672076848847</v>
      </c>
      <c r="D61" s="8">
        <f t="shared" si="8"/>
        <v>109.94431427626986</v>
      </c>
      <c r="E61" s="8">
        <f t="shared" si="9"/>
        <v>12603.616391125117</v>
      </c>
      <c r="F61" s="8">
        <f t="shared" si="10"/>
        <v>200</v>
      </c>
      <c r="G61" s="16"/>
      <c r="H61" s="39">
        <f t="shared" si="11"/>
        <v>12803.616391125117</v>
      </c>
      <c r="I61" s="4"/>
    </row>
    <row r="62" spans="2:9" ht="14.25" customHeight="1" x14ac:dyDescent="0.2">
      <c r="B62" s="48">
        <f t="shared" si="6"/>
        <v>52</v>
      </c>
      <c r="C62" s="9">
        <f t="shared" si="7"/>
        <v>12803.616391125117</v>
      </c>
      <c r="D62" s="9">
        <f t="shared" si="8"/>
        <v>112.67182424190104</v>
      </c>
      <c r="E62" s="9">
        <f t="shared" si="9"/>
        <v>12916.288215367018</v>
      </c>
      <c r="F62" s="8">
        <f t="shared" si="10"/>
        <v>200</v>
      </c>
      <c r="G62" s="16"/>
      <c r="H62" s="39">
        <f t="shared" si="11"/>
        <v>13116.288215367018</v>
      </c>
      <c r="I62" s="4"/>
    </row>
    <row r="63" spans="2:9" ht="14.25" customHeight="1" x14ac:dyDescent="0.2">
      <c r="B63" s="48">
        <f t="shared" si="6"/>
        <v>53</v>
      </c>
      <c r="C63" s="9">
        <f t="shared" si="7"/>
        <v>13116.288215367018</v>
      </c>
      <c r="D63" s="9">
        <f t="shared" si="8"/>
        <v>115.42333629522976</v>
      </c>
      <c r="E63" s="9">
        <f t="shared" si="9"/>
        <v>13231.711551662247</v>
      </c>
      <c r="F63" s="8">
        <f t="shared" si="10"/>
        <v>200</v>
      </c>
      <c r="G63" s="16"/>
      <c r="H63" s="39">
        <f t="shared" si="11"/>
        <v>13431.711551662247</v>
      </c>
      <c r="I63" s="4"/>
    </row>
    <row r="64" spans="2:9" ht="14.25" customHeight="1" x14ac:dyDescent="0.2">
      <c r="B64" s="48">
        <f t="shared" si="6"/>
        <v>54</v>
      </c>
      <c r="C64" s="9">
        <f t="shared" si="7"/>
        <v>13431.711551662247</v>
      </c>
      <c r="D64" s="9">
        <f t="shared" si="8"/>
        <v>118.19906165462778</v>
      </c>
      <c r="E64" s="9">
        <f t="shared" si="9"/>
        <v>13549.910613316875</v>
      </c>
      <c r="F64" s="8">
        <f t="shared" si="10"/>
        <v>200</v>
      </c>
      <c r="G64" s="16"/>
      <c r="H64" s="39">
        <f t="shared" si="11"/>
        <v>13749.910613316875</v>
      </c>
      <c r="I64" s="4"/>
    </row>
    <row r="65" spans="2:9" ht="14.25" customHeight="1" x14ac:dyDescent="0.2">
      <c r="B65" s="47">
        <f t="shared" si="6"/>
        <v>55</v>
      </c>
      <c r="C65" s="8">
        <f t="shared" si="7"/>
        <v>13749.910613316875</v>
      </c>
      <c r="D65" s="8">
        <f t="shared" si="8"/>
        <v>120.99921339718851</v>
      </c>
      <c r="E65" s="8">
        <f t="shared" si="9"/>
        <v>13870.909826714063</v>
      </c>
      <c r="F65" s="8">
        <f t="shared" si="10"/>
        <v>200</v>
      </c>
      <c r="G65" s="16"/>
      <c r="H65" s="39">
        <f t="shared" si="11"/>
        <v>14070.909826714063</v>
      </c>
      <c r="I65" s="4"/>
    </row>
    <row r="66" spans="2:9" ht="14.25" customHeight="1" x14ac:dyDescent="0.2">
      <c r="B66" s="47">
        <f t="shared" si="6"/>
        <v>56</v>
      </c>
      <c r="C66" s="8">
        <f t="shared" si="7"/>
        <v>14070.909826714063</v>
      </c>
      <c r="D66" s="8">
        <f t="shared" si="8"/>
        <v>123.82400647508376</v>
      </c>
      <c r="E66" s="8">
        <f t="shared" si="9"/>
        <v>14194.733833189148</v>
      </c>
      <c r="F66" s="8">
        <f t="shared" si="10"/>
        <v>200</v>
      </c>
      <c r="G66" s="16"/>
      <c r="H66" s="39">
        <f t="shared" si="11"/>
        <v>14394.733833189148</v>
      </c>
      <c r="I66" s="4"/>
    </row>
    <row r="67" spans="2:9" ht="14.25" customHeight="1" x14ac:dyDescent="0.2">
      <c r="B67" s="47">
        <f t="shared" si="6"/>
        <v>57</v>
      </c>
      <c r="C67" s="8">
        <f t="shared" si="7"/>
        <v>14394.733833189148</v>
      </c>
      <c r="D67" s="8">
        <f t="shared" si="8"/>
        <v>126.67365773206451</v>
      </c>
      <c r="E67" s="8">
        <f t="shared" si="9"/>
        <v>14521.407490921212</v>
      </c>
      <c r="F67" s="8">
        <f t="shared" si="10"/>
        <v>200</v>
      </c>
      <c r="G67" s="16"/>
      <c r="H67" s="39">
        <f t="shared" si="11"/>
        <v>14721.407490921212</v>
      </c>
      <c r="I67" s="4"/>
    </row>
    <row r="68" spans="2:9" ht="14.25" customHeight="1" x14ac:dyDescent="0.2">
      <c r="B68" s="48">
        <f t="shared" si="6"/>
        <v>58</v>
      </c>
      <c r="C68" s="9">
        <f t="shared" si="7"/>
        <v>14721.407490921212</v>
      </c>
      <c r="D68" s="9">
        <f t="shared" si="8"/>
        <v>129.54838592010668</v>
      </c>
      <c r="E68" s="9">
        <f t="shared" si="9"/>
        <v>14850.955876841319</v>
      </c>
      <c r="F68" s="8">
        <f t="shared" si="10"/>
        <v>200</v>
      </c>
      <c r="G68" s="16"/>
      <c r="H68" s="39">
        <f t="shared" si="11"/>
        <v>15050.955876841319</v>
      </c>
      <c r="I68" s="4"/>
    </row>
    <row r="69" spans="2:9" ht="14.25" customHeight="1" x14ac:dyDescent="0.2">
      <c r="B69" s="48">
        <f t="shared" si="6"/>
        <v>59</v>
      </c>
      <c r="C69" s="9">
        <f t="shared" si="7"/>
        <v>15050.955876841319</v>
      </c>
      <c r="D69" s="9">
        <f t="shared" si="8"/>
        <v>132.44841171620362</v>
      </c>
      <c r="E69" s="9">
        <f t="shared" si="9"/>
        <v>15183.404288557522</v>
      </c>
      <c r="F69" s="8">
        <f t="shared" si="10"/>
        <v>200</v>
      </c>
      <c r="G69" s="16"/>
      <c r="H69" s="39">
        <f t="shared" si="11"/>
        <v>15383.404288557522</v>
      </c>
      <c r="I69" s="4"/>
    </row>
    <row r="70" spans="2:9" ht="14.25" customHeight="1" thickBot="1" x14ac:dyDescent="0.25">
      <c r="B70" s="49">
        <f t="shared" si="6"/>
        <v>60</v>
      </c>
      <c r="C70" s="40">
        <f t="shared" si="7"/>
        <v>15383.404288557522</v>
      </c>
      <c r="D70" s="40">
        <f t="shared" si="8"/>
        <v>135.37395773930621</v>
      </c>
      <c r="E70" s="40">
        <f t="shared" si="9"/>
        <v>15518.778246296828</v>
      </c>
      <c r="F70" s="41">
        <f t="shared" si="10"/>
        <v>200</v>
      </c>
      <c r="G70" s="42"/>
      <c r="H70" s="43">
        <f t="shared" si="11"/>
        <v>15718.778246296828</v>
      </c>
      <c r="I70" s="4"/>
    </row>
    <row r="71" spans="2:9" ht="14.25" customHeight="1" x14ac:dyDescent="0.2">
      <c r="B71" s="46">
        <f t="shared" si="6"/>
        <v>61</v>
      </c>
      <c r="C71" s="36">
        <f t="shared" si="7"/>
        <v>15718.778246296828</v>
      </c>
      <c r="D71" s="36">
        <f t="shared" si="8"/>
        <v>138.3252485674121</v>
      </c>
      <c r="E71" s="36">
        <f t="shared" si="9"/>
        <v>15857.103494864241</v>
      </c>
      <c r="F71" s="36">
        <f t="shared" si="10"/>
        <v>200</v>
      </c>
      <c r="G71" s="37"/>
      <c r="H71" s="38">
        <f t="shared" si="11"/>
        <v>16057.103494864241</v>
      </c>
      <c r="I71" s="4"/>
    </row>
    <row r="72" spans="2:9" ht="14.25" customHeight="1" x14ac:dyDescent="0.2">
      <c r="B72" s="47">
        <f t="shared" si="6"/>
        <v>62</v>
      </c>
      <c r="C72" s="8">
        <f t="shared" si="7"/>
        <v>16057.103494864241</v>
      </c>
      <c r="D72" s="8">
        <f t="shared" si="8"/>
        <v>141.30251075480533</v>
      </c>
      <c r="E72" s="8">
        <f t="shared" si="9"/>
        <v>16198.406005619046</v>
      </c>
      <c r="F72" s="8">
        <f t="shared" si="10"/>
        <v>200</v>
      </c>
      <c r="G72" s="16"/>
      <c r="H72" s="39">
        <f t="shared" si="11"/>
        <v>16398.406005619046</v>
      </c>
      <c r="I72" s="4"/>
    </row>
    <row r="73" spans="2:9" ht="14.25" customHeight="1" x14ac:dyDescent="0.2">
      <c r="B73" s="47">
        <f t="shared" si="6"/>
        <v>63</v>
      </c>
      <c r="C73" s="8">
        <f t="shared" si="7"/>
        <v>16398.406005619046</v>
      </c>
      <c r="D73" s="8">
        <f t="shared" si="8"/>
        <v>144.30597284944761</v>
      </c>
      <c r="E73" s="8">
        <f t="shared" si="9"/>
        <v>16542.711978468495</v>
      </c>
      <c r="F73" s="8">
        <f t="shared" si="10"/>
        <v>200</v>
      </c>
      <c r="G73" s="16"/>
      <c r="H73" s="39">
        <f t="shared" si="11"/>
        <v>16742.711978468495</v>
      </c>
      <c r="I73" s="4"/>
    </row>
    <row r="74" spans="2:9" ht="14.25" customHeight="1" x14ac:dyDescent="0.2">
      <c r="B74" s="48">
        <f t="shared" si="6"/>
        <v>64</v>
      </c>
      <c r="C74" s="9">
        <f t="shared" si="7"/>
        <v>16742.711978468495</v>
      </c>
      <c r="D74" s="9">
        <f t="shared" si="8"/>
        <v>147.33586541052276</v>
      </c>
      <c r="E74" s="9">
        <f t="shared" si="9"/>
        <v>16890.047843879016</v>
      </c>
      <c r="F74" s="8">
        <f t="shared" si="10"/>
        <v>200</v>
      </c>
      <c r="G74" s="16"/>
      <c r="H74" s="39">
        <f t="shared" si="11"/>
        <v>17090.047843879016</v>
      </c>
      <c r="I74" s="4"/>
    </row>
    <row r="75" spans="2:9" ht="14.25" customHeight="1" x14ac:dyDescent="0.2">
      <c r="B75" s="48">
        <f t="shared" si="6"/>
        <v>65</v>
      </c>
      <c r="C75" s="9">
        <f t="shared" si="7"/>
        <v>17090.047843879016</v>
      </c>
      <c r="D75" s="9">
        <f t="shared" si="8"/>
        <v>150.39242102613534</v>
      </c>
      <c r="E75" s="9">
        <f t="shared" si="9"/>
        <v>17240.440264905152</v>
      </c>
      <c r="F75" s="8">
        <f t="shared" si="10"/>
        <v>200</v>
      </c>
      <c r="G75" s="16"/>
      <c r="H75" s="39">
        <f t="shared" si="11"/>
        <v>17440.440264905152</v>
      </c>
      <c r="I75" s="4"/>
    </row>
    <row r="76" spans="2:9" ht="14.25" customHeight="1" x14ac:dyDescent="0.2">
      <c r="B76" s="48">
        <f t="shared" si="6"/>
        <v>66</v>
      </c>
      <c r="C76" s="9">
        <f t="shared" si="7"/>
        <v>17440.440264905152</v>
      </c>
      <c r="D76" s="9">
        <f t="shared" si="8"/>
        <v>153.47587433116536</v>
      </c>
      <c r="E76" s="9">
        <f t="shared" si="9"/>
        <v>17593.916139236317</v>
      </c>
      <c r="F76" s="8">
        <f t="shared" si="10"/>
        <v>200</v>
      </c>
      <c r="G76" s="16"/>
      <c r="H76" s="39">
        <f t="shared" si="11"/>
        <v>17793.916139236317</v>
      </c>
      <c r="I76" s="4"/>
    </row>
    <row r="77" spans="2:9" ht="14.25" customHeight="1" x14ac:dyDescent="0.2">
      <c r="B77" s="47">
        <f t="shared" si="6"/>
        <v>67</v>
      </c>
      <c r="C77" s="8">
        <f t="shared" si="7"/>
        <v>17793.916139236317</v>
      </c>
      <c r="D77" s="8">
        <f t="shared" si="8"/>
        <v>156.58646202527959</v>
      </c>
      <c r="E77" s="8">
        <f t="shared" si="9"/>
        <v>17950.502601261596</v>
      </c>
      <c r="F77" s="8">
        <f t="shared" si="10"/>
        <v>200</v>
      </c>
      <c r="G77" s="16"/>
      <c r="H77" s="39">
        <f t="shared" si="11"/>
        <v>18150.502601261596</v>
      </c>
      <c r="I77" s="4"/>
    </row>
    <row r="78" spans="2:9" ht="14.25" customHeight="1" x14ac:dyDescent="0.2">
      <c r="B78" s="47">
        <f t="shared" si="6"/>
        <v>68</v>
      </c>
      <c r="C78" s="8">
        <f t="shared" si="7"/>
        <v>18150.502601261596</v>
      </c>
      <c r="D78" s="8">
        <f t="shared" si="8"/>
        <v>159.72442289110205</v>
      </c>
      <c r="E78" s="8">
        <f t="shared" si="9"/>
        <v>18310.227024152697</v>
      </c>
      <c r="F78" s="8">
        <f t="shared" si="10"/>
        <v>200</v>
      </c>
      <c r="G78" s="16"/>
      <c r="H78" s="39">
        <f t="shared" si="11"/>
        <v>18510.227024152697</v>
      </c>
      <c r="I78" s="4"/>
    </row>
    <row r="79" spans="2:9" ht="14.25" customHeight="1" x14ac:dyDescent="0.2">
      <c r="B79" s="47">
        <f t="shared" si="6"/>
        <v>69</v>
      </c>
      <c r="C79" s="8">
        <f t="shared" si="7"/>
        <v>18510.227024152697</v>
      </c>
      <c r="D79" s="8">
        <f t="shared" si="8"/>
        <v>162.88999781254375</v>
      </c>
      <c r="E79" s="8">
        <f t="shared" si="9"/>
        <v>18673.117021965241</v>
      </c>
      <c r="F79" s="8">
        <f t="shared" si="10"/>
        <v>200</v>
      </c>
      <c r="G79" s="16"/>
      <c r="H79" s="39">
        <f t="shared" si="11"/>
        <v>18873.117021965241</v>
      </c>
      <c r="I79" s="4"/>
    </row>
    <row r="80" spans="2:9" ht="14.25" customHeight="1" x14ac:dyDescent="0.2">
      <c r="B80" s="48">
        <f t="shared" si="6"/>
        <v>70</v>
      </c>
      <c r="C80" s="9">
        <f t="shared" si="7"/>
        <v>18873.117021965241</v>
      </c>
      <c r="D80" s="9">
        <f t="shared" si="8"/>
        <v>166.08342979329413</v>
      </c>
      <c r="E80" s="9">
        <f t="shared" si="9"/>
        <v>19039.200451758534</v>
      </c>
      <c r="F80" s="8">
        <f t="shared" si="10"/>
        <v>200</v>
      </c>
      <c r="G80" s="16"/>
      <c r="H80" s="39">
        <f t="shared" si="11"/>
        <v>19239.200451758534</v>
      </c>
      <c r="I80" s="4"/>
    </row>
    <row r="81" spans="2:9" ht="14.25" customHeight="1" x14ac:dyDescent="0.2">
      <c r="B81" s="48">
        <f t="shared" si="6"/>
        <v>71</v>
      </c>
      <c r="C81" s="9">
        <f t="shared" si="7"/>
        <v>19239.200451758534</v>
      </c>
      <c r="D81" s="9">
        <f t="shared" si="8"/>
        <v>169.30496397547512</v>
      </c>
      <c r="E81" s="9">
        <f t="shared" si="9"/>
        <v>19408.505415734009</v>
      </c>
      <c r="F81" s="8">
        <f t="shared" si="10"/>
        <v>200</v>
      </c>
      <c r="G81" s="16"/>
      <c r="H81" s="39">
        <f t="shared" si="11"/>
        <v>19608.505415734009</v>
      </c>
      <c r="I81" s="4"/>
    </row>
    <row r="82" spans="2:9" ht="14.25" customHeight="1" thickBot="1" x14ac:dyDescent="0.25">
      <c r="B82" s="49">
        <f t="shared" si="6"/>
        <v>72</v>
      </c>
      <c r="C82" s="40">
        <f t="shared" si="7"/>
        <v>19608.505415734009</v>
      </c>
      <c r="D82" s="40">
        <f t="shared" si="8"/>
        <v>172.55484765845929</v>
      </c>
      <c r="E82" s="40">
        <f t="shared" si="9"/>
        <v>19781.060263392468</v>
      </c>
      <c r="F82" s="41">
        <f t="shared" si="10"/>
        <v>200</v>
      </c>
      <c r="G82" s="42"/>
      <c r="H82" s="43">
        <f t="shared" si="11"/>
        <v>19981.060263392468</v>
      </c>
      <c r="I82" s="4"/>
    </row>
    <row r="83" spans="2:9" ht="14.25" customHeight="1" x14ac:dyDescent="0.2">
      <c r="B83" s="46">
        <f t="shared" si="6"/>
        <v>73</v>
      </c>
      <c r="C83" s="36">
        <f t="shared" si="7"/>
        <v>19981.060263392468</v>
      </c>
      <c r="D83" s="36">
        <f t="shared" si="8"/>
        <v>175.83333031785372</v>
      </c>
      <c r="E83" s="36">
        <f t="shared" si="9"/>
        <v>20156.893593710323</v>
      </c>
      <c r="F83" s="36">
        <f t="shared" si="10"/>
        <v>200</v>
      </c>
      <c r="G83" s="37"/>
      <c r="H83" s="38">
        <f t="shared" si="11"/>
        <v>20356.893593710323</v>
      </c>
      <c r="I83" s="4"/>
    </row>
    <row r="84" spans="2:9" ht="14.25" customHeight="1" x14ac:dyDescent="0.2">
      <c r="B84" s="47">
        <f t="shared" si="6"/>
        <v>74</v>
      </c>
      <c r="C84" s="8">
        <f t="shared" si="7"/>
        <v>20356.893593710323</v>
      </c>
      <c r="D84" s="8">
        <f t="shared" si="8"/>
        <v>179.14066362465087</v>
      </c>
      <c r="E84" s="8">
        <f t="shared" si="9"/>
        <v>20536.034257334974</v>
      </c>
      <c r="F84" s="8">
        <f t="shared" si="10"/>
        <v>200</v>
      </c>
      <c r="G84" s="16"/>
      <c r="H84" s="39">
        <f t="shared" si="11"/>
        <v>20736.034257334974</v>
      </c>
      <c r="I84" s="4"/>
    </row>
    <row r="85" spans="2:9" ht="14.25" customHeight="1" x14ac:dyDescent="0.2">
      <c r="B85" s="47">
        <f t="shared" si="6"/>
        <v>75</v>
      </c>
      <c r="C85" s="8">
        <f t="shared" si="7"/>
        <v>20736.034257334974</v>
      </c>
      <c r="D85" s="8">
        <f t="shared" si="8"/>
        <v>182.47710146454779</v>
      </c>
      <c r="E85" s="8">
        <f t="shared" si="9"/>
        <v>20918.511358799522</v>
      </c>
      <c r="F85" s="8">
        <f t="shared" si="10"/>
        <v>200</v>
      </c>
      <c r="G85" s="16"/>
      <c r="H85" s="39">
        <f t="shared" si="11"/>
        <v>21118.511358799522</v>
      </c>
      <c r="I85" s="4"/>
    </row>
    <row r="86" spans="2:9" ht="14.25" customHeight="1" x14ac:dyDescent="0.2">
      <c r="B86" s="48">
        <f t="shared" si="6"/>
        <v>76</v>
      </c>
      <c r="C86" s="9">
        <f t="shared" si="7"/>
        <v>21118.511358799522</v>
      </c>
      <c r="D86" s="9">
        <f t="shared" si="8"/>
        <v>185.8428999574358</v>
      </c>
      <c r="E86" s="9">
        <f t="shared" si="9"/>
        <v>21304.354258756957</v>
      </c>
      <c r="F86" s="8">
        <f t="shared" si="10"/>
        <v>200</v>
      </c>
      <c r="G86" s="16"/>
      <c r="H86" s="39">
        <f t="shared" si="11"/>
        <v>21504.354258756957</v>
      </c>
      <c r="I86" s="4"/>
    </row>
    <row r="87" spans="2:9" ht="14.25" customHeight="1" x14ac:dyDescent="0.2">
      <c r="B87" s="48">
        <f t="shared" si="6"/>
        <v>77</v>
      </c>
      <c r="C87" s="9">
        <f t="shared" si="7"/>
        <v>21504.354258756957</v>
      </c>
      <c r="D87" s="9">
        <f t="shared" si="8"/>
        <v>189.23831747706123</v>
      </c>
      <c r="E87" s="9">
        <f t="shared" si="9"/>
        <v>21693.592576234019</v>
      </c>
      <c r="F87" s="8">
        <f t="shared" si="10"/>
        <v>200</v>
      </c>
      <c r="G87" s="16"/>
      <c r="H87" s="39">
        <f t="shared" si="11"/>
        <v>21893.592576234019</v>
      </c>
      <c r="I87" s="4"/>
    </row>
    <row r="88" spans="2:9" ht="14.25" customHeight="1" x14ac:dyDescent="0.2">
      <c r="B88" s="48">
        <f t="shared" si="6"/>
        <v>78</v>
      </c>
      <c r="C88" s="9">
        <f t="shared" si="7"/>
        <v>21893.592576234019</v>
      </c>
      <c r="D88" s="9">
        <f t="shared" si="8"/>
        <v>192.66361467085937</v>
      </c>
      <c r="E88" s="9">
        <f t="shared" si="9"/>
        <v>22086.256190904878</v>
      </c>
      <c r="F88" s="8">
        <f t="shared" si="10"/>
        <v>200</v>
      </c>
      <c r="G88" s="16"/>
      <c r="H88" s="39">
        <f t="shared" si="11"/>
        <v>22286.256190904878</v>
      </c>
      <c r="I88" s="4"/>
    </row>
    <row r="89" spans="2:9" ht="14.25" customHeight="1" x14ac:dyDescent="0.2">
      <c r="B89" s="47">
        <f t="shared" si="6"/>
        <v>79</v>
      </c>
      <c r="C89" s="8">
        <f t="shared" si="7"/>
        <v>22286.256190904878</v>
      </c>
      <c r="D89" s="8">
        <f t="shared" si="8"/>
        <v>196.11905447996293</v>
      </c>
      <c r="E89" s="8">
        <f t="shared" si="9"/>
        <v>22482.375245384843</v>
      </c>
      <c r="F89" s="8">
        <f t="shared" si="10"/>
        <v>200</v>
      </c>
      <c r="G89" s="16"/>
      <c r="H89" s="39">
        <f t="shared" si="11"/>
        <v>22682.375245384843</v>
      </c>
      <c r="I89" s="4"/>
    </row>
    <row r="90" spans="2:9" ht="14.25" customHeight="1" x14ac:dyDescent="0.2">
      <c r="B90" s="47">
        <f t="shared" si="6"/>
        <v>80</v>
      </c>
      <c r="C90" s="8">
        <f t="shared" si="7"/>
        <v>22682.375245384843</v>
      </c>
      <c r="D90" s="8">
        <f t="shared" si="8"/>
        <v>199.60490215938663</v>
      </c>
      <c r="E90" s="8">
        <f t="shared" si="9"/>
        <v>22881.980147544229</v>
      </c>
      <c r="F90" s="8">
        <f t="shared" si="10"/>
        <v>200</v>
      </c>
      <c r="G90" s="16"/>
      <c r="H90" s="39">
        <f t="shared" si="11"/>
        <v>23081.980147544229</v>
      </c>
      <c r="I90" s="4"/>
    </row>
    <row r="91" spans="2:9" ht="14.25" customHeight="1" x14ac:dyDescent="0.2">
      <c r="B91" s="47">
        <f t="shared" si="6"/>
        <v>81</v>
      </c>
      <c r="C91" s="8">
        <f t="shared" si="7"/>
        <v>23081.980147544229</v>
      </c>
      <c r="D91" s="8">
        <f t="shared" si="8"/>
        <v>203.12142529838923</v>
      </c>
      <c r="E91" s="8">
        <f t="shared" si="9"/>
        <v>23285.101572842617</v>
      </c>
      <c r="F91" s="8">
        <f t="shared" si="10"/>
        <v>200</v>
      </c>
      <c r="G91" s="16"/>
      <c r="H91" s="39">
        <f t="shared" si="11"/>
        <v>23485.101572842617</v>
      </c>
      <c r="I91" s="4"/>
    </row>
    <row r="92" spans="2:9" ht="14.25" customHeight="1" x14ac:dyDescent="0.2">
      <c r="B92" s="48">
        <f t="shared" si="6"/>
        <v>82</v>
      </c>
      <c r="C92" s="9">
        <f t="shared" si="7"/>
        <v>23485.101572842617</v>
      </c>
      <c r="D92" s="9">
        <f t="shared" si="8"/>
        <v>206.66889384101503</v>
      </c>
      <c r="E92" s="9">
        <f t="shared" si="9"/>
        <v>23691.770466683633</v>
      </c>
      <c r="F92" s="8">
        <f t="shared" si="10"/>
        <v>200</v>
      </c>
      <c r="G92" s="16"/>
      <c r="H92" s="39">
        <f t="shared" si="11"/>
        <v>23891.770466683633</v>
      </c>
      <c r="I92" s="4"/>
    </row>
    <row r="93" spans="2:9" ht="14.25" customHeight="1" x14ac:dyDescent="0.2">
      <c r="B93" s="48">
        <f t="shared" si="6"/>
        <v>83</v>
      </c>
      <c r="C93" s="9">
        <f t="shared" si="7"/>
        <v>23891.770466683633</v>
      </c>
      <c r="D93" s="9">
        <f t="shared" si="8"/>
        <v>210.24758010681597</v>
      </c>
      <c r="E93" s="9">
        <f t="shared" si="9"/>
        <v>24102.01804679045</v>
      </c>
      <c r="F93" s="8">
        <f t="shared" si="10"/>
        <v>200</v>
      </c>
      <c r="G93" s="16"/>
      <c r="H93" s="39">
        <f t="shared" si="11"/>
        <v>24302.01804679045</v>
      </c>
      <c r="I93" s="4"/>
    </row>
    <row r="94" spans="2:9" ht="14.25" customHeight="1" thickBot="1" x14ac:dyDescent="0.25">
      <c r="B94" s="49">
        <f t="shared" si="6"/>
        <v>84</v>
      </c>
      <c r="C94" s="40">
        <f t="shared" si="7"/>
        <v>24302.01804679045</v>
      </c>
      <c r="D94" s="40">
        <f t="shared" si="8"/>
        <v>213.85775881175599</v>
      </c>
      <c r="E94" s="40">
        <f t="shared" si="9"/>
        <v>24515.875805602205</v>
      </c>
      <c r="F94" s="41">
        <f t="shared" si="10"/>
        <v>200</v>
      </c>
      <c r="G94" s="42"/>
      <c r="H94" s="43">
        <f t="shared" si="11"/>
        <v>24715.875805602205</v>
      </c>
      <c r="I94" s="4"/>
    </row>
    <row r="95" spans="2:9" ht="14.25" customHeight="1" x14ac:dyDescent="0.2">
      <c r="B95" s="46">
        <f t="shared" si="6"/>
        <v>85</v>
      </c>
      <c r="C95" s="36">
        <f t="shared" si="7"/>
        <v>24715.875805602205</v>
      </c>
      <c r="D95" s="36">
        <f t="shared" si="8"/>
        <v>217.49970708929942</v>
      </c>
      <c r="E95" s="36">
        <f t="shared" si="9"/>
        <v>24933.375512691506</v>
      </c>
      <c r="F95" s="36">
        <f t="shared" si="10"/>
        <v>200</v>
      </c>
      <c r="G95" s="37"/>
      <c r="H95" s="38">
        <f t="shared" si="11"/>
        <v>25133.375512691506</v>
      </c>
      <c r="I95" s="4"/>
    </row>
    <row r="96" spans="2:9" ht="14.25" customHeight="1" x14ac:dyDescent="0.2">
      <c r="B96" s="47">
        <f t="shared" si="6"/>
        <v>86</v>
      </c>
      <c r="C96" s="8">
        <f t="shared" si="7"/>
        <v>25133.375512691506</v>
      </c>
      <c r="D96" s="8">
        <f t="shared" si="8"/>
        <v>221.17370451168526</v>
      </c>
      <c r="E96" s="8">
        <f t="shared" si="9"/>
        <v>25354.549217203192</v>
      </c>
      <c r="F96" s="8">
        <f t="shared" si="10"/>
        <v>200</v>
      </c>
      <c r="G96" s="16"/>
      <c r="H96" s="39">
        <f t="shared" si="11"/>
        <v>25554.549217203192</v>
      </c>
      <c r="I96" s="4"/>
    </row>
    <row r="97" spans="2:9" ht="14.25" customHeight="1" x14ac:dyDescent="0.2">
      <c r="B97" s="47">
        <f t="shared" si="6"/>
        <v>87</v>
      </c>
      <c r="C97" s="8">
        <f t="shared" si="7"/>
        <v>25554.549217203192</v>
      </c>
      <c r="D97" s="8">
        <f t="shared" si="8"/>
        <v>224.88003311138809</v>
      </c>
      <c r="E97" s="8">
        <f t="shared" si="9"/>
        <v>25779.429250314581</v>
      </c>
      <c r="F97" s="8">
        <f t="shared" si="10"/>
        <v>200</v>
      </c>
      <c r="G97" s="16"/>
      <c r="H97" s="39">
        <f t="shared" si="11"/>
        <v>25979.429250314581</v>
      </c>
      <c r="I97" s="4"/>
    </row>
    <row r="98" spans="2:9" ht="14.25" customHeight="1" x14ac:dyDescent="0.2">
      <c r="B98" s="48">
        <f t="shared" si="6"/>
        <v>88</v>
      </c>
      <c r="C98" s="9">
        <f t="shared" si="7"/>
        <v>25979.429250314581</v>
      </c>
      <c r="D98" s="9">
        <f t="shared" si="8"/>
        <v>228.61897740276834</v>
      </c>
      <c r="E98" s="9">
        <f t="shared" si="9"/>
        <v>26208.048227717351</v>
      </c>
      <c r="F98" s="8">
        <f t="shared" si="10"/>
        <v>200</v>
      </c>
      <c r="G98" s="16"/>
      <c r="H98" s="39">
        <f t="shared" si="11"/>
        <v>26408.048227717351</v>
      </c>
      <c r="I98" s="4"/>
    </row>
    <row r="99" spans="2:9" ht="14.25" customHeight="1" x14ac:dyDescent="0.2">
      <c r="B99" s="48">
        <f t="shared" si="6"/>
        <v>89</v>
      </c>
      <c r="C99" s="9">
        <f t="shared" si="7"/>
        <v>26408.048227717351</v>
      </c>
      <c r="D99" s="9">
        <f t="shared" si="8"/>
        <v>232.39082440391269</v>
      </c>
      <c r="E99" s="9">
        <f t="shared" si="9"/>
        <v>26640.439052121263</v>
      </c>
      <c r="F99" s="8">
        <f t="shared" si="10"/>
        <v>200</v>
      </c>
      <c r="G99" s="16"/>
      <c r="H99" s="39">
        <f t="shared" si="11"/>
        <v>26840.439052121263</v>
      </c>
      <c r="I99" s="4"/>
    </row>
    <row r="100" spans="2:9" ht="14.25" customHeight="1" x14ac:dyDescent="0.2">
      <c r="B100" s="48">
        <f t="shared" si="6"/>
        <v>90</v>
      </c>
      <c r="C100" s="9">
        <f t="shared" si="7"/>
        <v>26840.439052121263</v>
      </c>
      <c r="D100" s="9">
        <f t="shared" si="8"/>
        <v>236.19586365866712</v>
      </c>
      <c r="E100" s="9">
        <f t="shared" si="9"/>
        <v>27076.63491577993</v>
      </c>
      <c r="F100" s="8">
        <f t="shared" si="10"/>
        <v>200</v>
      </c>
      <c r="G100" s="16"/>
      <c r="H100" s="39">
        <f t="shared" si="11"/>
        <v>27276.63491577993</v>
      </c>
      <c r="I100" s="4"/>
    </row>
    <row r="101" spans="2:9" ht="14.25" customHeight="1" x14ac:dyDescent="0.2">
      <c r="B101" s="47">
        <f t="shared" si="6"/>
        <v>91</v>
      </c>
      <c r="C101" s="8">
        <f t="shared" si="7"/>
        <v>27276.63491577993</v>
      </c>
      <c r="D101" s="8">
        <f t="shared" si="8"/>
        <v>240.0343872588634</v>
      </c>
      <c r="E101" s="8">
        <f t="shared" si="9"/>
        <v>27516.669303038794</v>
      </c>
      <c r="F101" s="8">
        <f t="shared" si="10"/>
        <v>200</v>
      </c>
      <c r="G101" s="16"/>
      <c r="H101" s="39">
        <f t="shared" si="11"/>
        <v>27716.669303038794</v>
      </c>
      <c r="I101" s="4"/>
    </row>
    <row r="102" spans="2:9" ht="14.25" customHeight="1" x14ac:dyDescent="0.2">
      <c r="B102" s="47">
        <f t="shared" si="6"/>
        <v>92</v>
      </c>
      <c r="C102" s="8">
        <f t="shared" si="7"/>
        <v>27716.669303038794</v>
      </c>
      <c r="D102" s="8">
        <f t="shared" si="8"/>
        <v>243.9066898667414</v>
      </c>
      <c r="E102" s="8">
        <f t="shared" si="9"/>
        <v>27960.575992905535</v>
      </c>
      <c r="F102" s="8">
        <f t="shared" si="10"/>
        <v>200</v>
      </c>
      <c r="G102" s="16"/>
      <c r="H102" s="39">
        <f t="shared" si="11"/>
        <v>28160.575992905535</v>
      </c>
      <c r="I102" s="4"/>
    </row>
    <row r="103" spans="2:9" ht="14.25" customHeight="1" x14ac:dyDescent="0.2">
      <c r="B103" s="47">
        <f t="shared" si="6"/>
        <v>93</v>
      </c>
      <c r="C103" s="8">
        <f t="shared" si="7"/>
        <v>28160.575992905535</v>
      </c>
      <c r="D103" s="8">
        <f t="shared" si="8"/>
        <v>247.81306873756873</v>
      </c>
      <c r="E103" s="8">
        <f t="shared" si="9"/>
        <v>28408.389061643102</v>
      </c>
      <c r="F103" s="8">
        <f t="shared" si="10"/>
        <v>200</v>
      </c>
      <c r="G103" s="16"/>
      <c r="H103" s="39">
        <f t="shared" si="11"/>
        <v>28608.389061643102</v>
      </c>
      <c r="I103" s="4"/>
    </row>
    <row r="104" spans="2:9" ht="14.25" customHeight="1" x14ac:dyDescent="0.2">
      <c r="B104" s="48">
        <f t="shared" si="6"/>
        <v>94</v>
      </c>
      <c r="C104" s="9">
        <f t="shared" si="7"/>
        <v>28608.389061643102</v>
      </c>
      <c r="D104" s="9">
        <f t="shared" si="8"/>
        <v>251.7538237424593</v>
      </c>
      <c r="E104" s="9">
        <f t="shared" si="9"/>
        <v>28860.142885385561</v>
      </c>
      <c r="F104" s="8">
        <f t="shared" si="10"/>
        <v>200</v>
      </c>
      <c r="G104" s="16"/>
      <c r="H104" s="39">
        <f t="shared" si="11"/>
        <v>29060.142885385561</v>
      </c>
      <c r="I104" s="4"/>
    </row>
    <row r="105" spans="2:9" ht="14.25" customHeight="1" x14ac:dyDescent="0.2">
      <c r="B105" s="48">
        <f t="shared" si="6"/>
        <v>95</v>
      </c>
      <c r="C105" s="9">
        <f t="shared" si="7"/>
        <v>29060.142885385561</v>
      </c>
      <c r="D105" s="9">
        <f t="shared" si="8"/>
        <v>255.72925739139296</v>
      </c>
      <c r="E105" s="9">
        <f t="shared" si="9"/>
        <v>29315.872142776956</v>
      </c>
      <c r="F105" s="8">
        <f t="shared" si="10"/>
        <v>200</v>
      </c>
      <c r="G105" s="16"/>
      <c r="H105" s="39">
        <f t="shared" si="11"/>
        <v>29515.872142776956</v>
      </c>
      <c r="I105" s="4"/>
    </row>
    <row r="106" spans="2:9" ht="14.25" customHeight="1" thickBot="1" x14ac:dyDescent="0.25">
      <c r="B106" s="49">
        <f t="shared" si="6"/>
        <v>96</v>
      </c>
      <c r="C106" s="40">
        <f t="shared" si="7"/>
        <v>29515.872142776956</v>
      </c>
      <c r="D106" s="40">
        <f t="shared" si="8"/>
        <v>259.7396748564372</v>
      </c>
      <c r="E106" s="40">
        <f t="shared" si="9"/>
        <v>29775.611817633395</v>
      </c>
      <c r="F106" s="41">
        <f t="shared" si="10"/>
        <v>200</v>
      </c>
      <c r="G106" s="42"/>
      <c r="H106" s="43">
        <f t="shared" si="11"/>
        <v>29975.611817633395</v>
      </c>
      <c r="I106" s="4"/>
    </row>
    <row r="107" spans="2:9" ht="14.25" customHeight="1" x14ac:dyDescent="0.2">
      <c r="B107" s="46">
        <f t="shared" si="6"/>
        <v>97</v>
      </c>
      <c r="C107" s="36">
        <f t="shared" si="7"/>
        <v>29975.611817633395</v>
      </c>
      <c r="D107" s="36">
        <f t="shared" si="8"/>
        <v>263.7853839951739</v>
      </c>
      <c r="E107" s="36">
        <f t="shared" si="9"/>
        <v>30239.39720162857</v>
      </c>
      <c r="F107" s="36">
        <f t="shared" si="10"/>
        <v>200</v>
      </c>
      <c r="G107" s="37"/>
      <c r="H107" s="38">
        <f t="shared" si="11"/>
        <v>30439.39720162857</v>
      </c>
      <c r="I107" s="4"/>
    </row>
    <row r="108" spans="2:9" ht="14.25" customHeight="1" x14ac:dyDescent="0.2">
      <c r="B108" s="47">
        <f t="shared" si="6"/>
        <v>98</v>
      </c>
      <c r="C108" s="8">
        <f t="shared" si="7"/>
        <v>30439.39720162857</v>
      </c>
      <c r="D108" s="8">
        <f t="shared" si="8"/>
        <v>267.86669537433141</v>
      </c>
      <c r="E108" s="8">
        <f t="shared" si="9"/>
        <v>30707.2638970029</v>
      </c>
      <c r="F108" s="8">
        <f t="shared" si="10"/>
        <v>200</v>
      </c>
      <c r="G108" s="16"/>
      <c r="H108" s="39">
        <f t="shared" si="11"/>
        <v>30907.2638970029</v>
      </c>
      <c r="I108" s="4"/>
    </row>
    <row r="109" spans="2:9" ht="14.25" customHeight="1" x14ac:dyDescent="0.2">
      <c r="B109" s="47">
        <f t="shared" si="6"/>
        <v>99</v>
      </c>
      <c r="C109" s="8">
        <f t="shared" si="7"/>
        <v>30907.2638970029</v>
      </c>
      <c r="D109" s="8">
        <f t="shared" si="8"/>
        <v>271.98392229362554</v>
      </c>
      <c r="E109" s="8">
        <f t="shared" si="9"/>
        <v>31179.247819296525</v>
      </c>
      <c r="F109" s="8">
        <f t="shared" si="10"/>
        <v>200</v>
      </c>
      <c r="G109" s="16"/>
      <c r="H109" s="39">
        <f t="shared" si="11"/>
        <v>31379.247819296525</v>
      </c>
      <c r="I109" s="4"/>
    </row>
    <row r="110" spans="2:9" ht="14.25" customHeight="1" x14ac:dyDescent="0.2">
      <c r="B110" s="48">
        <f t="shared" si="6"/>
        <v>100</v>
      </c>
      <c r="C110" s="9">
        <f t="shared" si="7"/>
        <v>31379.247819296525</v>
      </c>
      <c r="D110" s="9">
        <f t="shared" si="8"/>
        <v>276.13738080980943</v>
      </c>
      <c r="E110" s="9">
        <f t="shared" si="9"/>
        <v>31655.385200106335</v>
      </c>
      <c r="F110" s="8">
        <f t="shared" si="10"/>
        <v>200</v>
      </c>
      <c r="G110" s="16"/>
      <c r="H110" s="39">
        <f t="shared" si="11"/>
        <v>31855.385200106335</v>
      </c>
      <c r="I110" s="4"/>
    </row>
    <row r="111" spans="2:9" ht="14.25" customHeight="1" x14ac:dyDescent="0.2">
      <c r="B111" s="48">
        <f t="shared" si="6"/>
        <v>101</v>
      </c>
      <c r="C111" s="9">
        <f t="shared" si="7"/>
        <v>31855.385200106335</v>
      </c>
      <c r="D111" s="9">
        <f t="shared" si="8"/>
        <v>280.32738976093577</v>
      </c>
      <c r="E111" s="9">
        <f t="shared" si="9"/>
        <v>32135.712589867271</v>
      </c>
      <c r="F111" s="8">
        <f t="shared" si="10"/>
        <v>200</v>
      </c>
      <c r="G111" s="16"/>
      <c r="H111" s="39">
        <f t="shared" si="11"/>
        <v>32335.712589867271</v>
      </c>
      <c r="I111" s="4"/>
    </row>
    <row r="112" spans="2:9" ht="14.25" customHeight="1" x14ac:dyDescent="0.2">
      <c r="B112" s="48">
        <f t="shared" si="6"/>
        <v>102</v>
      </c>
      <c r="C112" s="9">
        <f t="shared" si="7"/>
        <v>32335.712589867271</v>
      </c>
      <c r="D112" s="9">
        <f t="shared" si="8"/>
        <v>284.55427079083199</v>
      </c>
      <c r="E112" s="9">
        <f t="shared" si="9"/>
        <v>32620.266860658103</v>
      </c>
      <c r="F112" s="8">
        <f t="shared" si="10"/>
        <v>200</v>
      </c>
      <c r="G112" s="16"/>
      <c r="H112" s="39">
        <f t="shared" si="11"/>
        <v>32820.266860658099</v>
      </c>
      <c r="I112" s="4"/>
    </row>
    <row r="113" spans="2:9" ht="14.25" customHeight="1" x14ac:dyDescent="0.2">
      <c r="B113" s="47">
        <f t="shared" si="6"/>
        <v>103</v>
      </c>
      <c r="C113" s="8">
        <f t="shared" si="7"/>
        <v>32820.266860658099</v>
      </c>
      <c r="D113" s="8">
        <f t="shared" si="8"/>
        <v>288.81834837379131</v>
      </c>
      <c r="E113" s="8">
        <f t="shared" si="9"/>
        <v>33109.085209031888</v>
      </c>
      <c r="F113" s="8">
        <f t="shared" si="10"/>
        <v>200</v>
      </c>
      <c r="G113" s="16"/>
      <c r="H113" s="39">
        <f t="shared" si="11"/>
        <v>33309.085209031888</v>
      </c>
      <c r="I113" s="4"/>
    </row>
    <row r="114" spans="2:9" ht="14.25" customHeight="1" x14ac:dyDescent="0.2">
      <c r="B114" s="47">
        <f t="shared" si="6"/>
        <v>104</v>
      </c>
      <c r="C114" s="8">
        <f t="shared" si="7"/>
        <v>33309.085209031888</v>
      </c>
      <c r="D114" s="8">
        <f t="shared" si="8"/>
        <v>293.11994983948063</v>
      </c>
      <c r="E114" s="8">
        <f t="shared" si="9"/>
        <v>33602.205158871366</v>
      </c>
      <c r="F114" s="8">
        <f t="shared" si="10"/>
        <v>200</v>
      </c>
      <c r="G114" s="16"/>
      <c r="H114" s="39">
        <f t="shared" si="11"/>
        <v>33802.205158871366</v>
      </c>
      <c r="I114" s="4"/>
    </row>
    <row r="115" spans="2:9" ht="14.25" customHeight="1" x14ac:dyDescent="0.2">
      <c r="B115" s="47">
        <f t="shared" si="6"/>
        <v>105</v>
      </c>
      <c r="C115" s="8">
        <f t="shared" si="7"/>
        <v>33802.205158871366</v>
      </c>
      <c r="D115" s="8">
        <f t="shared" si="8"/>
        <v>297.45940539806804</v>
      </c>
      <c r="E115" s="8">
        <f t="shared" si="9"/>
        <v>34099.664564269435</v>
      </c>
      <c r="F115" s="8">
        <f t="shared" si="10"/>
        <v>200</v>
      </c>
      <c r="G115" s="16"/>
      <c r="H115" s="39">
        <f t="shared" si="11"/>
        <v>34299.664564269435</v>
      </c>
      <c r="I115" s="4"/>
    </row>
    <row r="116" spans="2:9" ht="14.25" customHeight="1" x14ac:dyDescent="0.2">
      <c r="B116" s="48">
        <f t="shared" si="6"/>
        <v>106</v>
      </c>
      <c r="C116" s="9">
        <f t="shared" si="7"/>
        <v>34299.664564269435</v>
      </c>
      <c r="D116" s="9">
        <f t="shared" si="8"/>
        <v>301.83704816557105</v>
      </c>
      <c r="E116" s="9">
        <f t="shared" si="9"/>
        <v>34601.501612435008</v>
      </c>
      <c r="F116" s="8">
        <f t="shared" si="10"/>
        <v>200</v>
      </c>
      <c r="G116" s="16"/>
      <c r="H116" s="39">
        <f t="shared" si="11"/>
        <v>34801.501612435008</v>
      </c>
      <c r="I116" s="4"/>
    </row>
    <row r="117" spans="2:9" ht="14.25" customHeight="1" x14ac:dyDescent="0.2">
      <c r="B117" s="48">
        <f t="shared" si="6"/>
        <v>107</v>
      </c>
      <c r="C117" s="9">
        <f t="shared" si="7"/>
        <v>34801.501612435008</v>
      </c>
      <c r="D117" s="9">
        <f t="shared" si="8"/>
        <v>306.25321418942809</v>
      </c>
      <c r="E117" s="9">
        <f t="shared" si="9"/>
        <v>35107.754826624434</v>
      </c>
      <c r="F117" s="8">
        <f t="shared" si="10"/>
        <v>200</v>
      </c>
      <c r="G117" s="16"/>
      <c r="H117" s="39">
        <f t="shared" si="11"/>
        <v>35307.754826624434</v>
      </c>
      <c r="I117" s="4"/>
    </row>
    <row r="118" spans="2:9" ht="14.25" customHeight="1" thickBot="1" x14ac:dyDescent="0.25">
      <c r="B118" s="49">
        <f t="shared" si="6"/>
        <v>108</v>
      </c>
      <c r="C118" s="40">
        <f t="shared" si="7"/>
        <v>35307.754826624434</v>
      </c>
      <c r="D118" s="40">
        <f t="shared" si="8"/>
        <v>310.70824247429505</v>
      </c>
      <c r="E118" s="40">
        <f t="shared" si="9"/>
        <v>35618.463069098732</v>
      </c>
      <c r="F118" s="41">
        <f t="shared" si="10"/>
        <v>200</v>
      </c>
      <c r="G118" s="42"/>
      <c r="H118" s="43">
        <f t="shared" si="11"/>
        <v>35818.463069098732</v>
      </c>
      <c r="I118" s="4"/>
    </row>
    <row r="119" spans="2:9" ht="14.25" customHeight="1" x14ac:dyDescent="0.2">
      <c r="B119" s="46">
        <f t="shared" si="6"/>
        <v>109</v>
      </c>
      <c r="C119" s="36">
        <f t="shared" si="7"/>
        <v>35818.463069098732</v>
      </c>
      <c r="D119" s="36">
        <f t="shared" si="8"/>
        <v>315.20247500806886</v>
      </c>
      <c r="E119" s="36">
        <f t="shared" si="9"/>
        <v>36133.6655441068</v>
      </c>
      <c r="F119" s="36">
        <f t="shared" si="10"/>
        <v>200</v>
      </c>
      <c r="G119" s="37"/>
      <c r="H119" s="38">
        <f t="shared" si="11"/>
        <v>36333.6655441068</v>
      </c>
      <c r="I119" s="4"/>
    </row>
    <row r="120" spans="2:9" ht="14.25" customHeight="1" x14ac:dyDescent="0.2">
      <c r="B120" s="47">
        <f t="shared" si="6"/>
        <v>110</v>
      </c>
      <c r="C120" s="8">
        <f t="shared" si="7"/>
        <v>36333.6655441068</v>
      </c>
      <c r="D120" s="8">
        <f t="shared" si="8"/>
        <v>319.73625678813988</v>
      </c>
      <c r="E120" s="8">
        <f t="shared" si="9"/>
        <v>36653.401800894942</v>
      </c>
      <c r="F120" s="8">
        <f t="shared" si="10"/>
        <v>200</v>
      </c>
      <c r="G120" s="16"/>
      <c r="H120" s="39">
        <f t="shared" si="11"/>
        <v>36853.401800894942</v>
      </c>
      <c r="I120" s="4"/>
    </row>
    <row r="121" spans="2:9" ht="14.25" customHeight="1" x14ac:dyDescent="0.2">
      <c r="B121" s="47">
        <f t="shared" si="6"/>
        <v>111</v>
      </c>
      <c r="C121" s="8">
        <f t="shared" si="7"/>
        <v>36853.401800894942</v>
      </c>
      <c r="D121" s="8">
        <f t="shared" si="8"/>
        <v>324.30993584787552</v>
      </c>
      <c r="E121" s="8">
        <f t="shared" si="9"/>
        <v>37177.711736742815</v>
      </c>
      <c r="F121" s="8">
        <f t="shared" si="10"/>
        <v>200</v>
      </c>
      <c r="G121" s="16"/>
      <c r="H121" s="39">
        <f t="shared" si="11"/>
        <v>37377.711736742815</v>
      </c>
      <c r="I121" s="4"/>
    </row>
    <row r="122" spans="2:9" ht="14.25" customHeight="1" x14ac:dyDescent="0.2">
      <c r="B122" s="48">
        <f t="shared" si="6"/>
        <v>112</v>
      </c>
      <c r="C122" s="9">
        <f t="shared" si="7"/>
        <v>37377.711736742815</v>
      </c>
      <c r="D122" s="9">
        <f t="shared" si="8"/>
        <v>328.9238632833368</v>
      </c>
      <c r="E122" s="9">
        <f t="shared" si="9"/>
        <v>37706.635600026151</v>
      </c>
      <c r="F122" s="8">
        <f t="shared" si="10"/>
        <v>200</v>
      </c>
      <c r="G122" s="16"/>
      <c r="H122" s="39">
        <f t="shared" si="11"/>
        <v>37906.635600026151</v>
      </c>
      <c r="I122" s="4"/>
    </row>
    <row r="123" spans="2:9" ht="14.25" customHeight="1" x14ac:dyDescent="0.2">
      <c r="B123" s="48">
        <f t="shared" ref="B123:B186" si="12">IF(AND(B122&gt;0,B122&lt;E$8),B122+1,0)</f>
        <v>113</v>
      </c>
      <c r="C123" s="9">
        <f t="shared" ref="C123:C186" si="13">IF(B123&gt;0,H122,0)</f>
        <v>37906.635600026151</v>
      </c>
      <c r="D123" s="9">
        <f t="shared" ref="D123:D186" si="14">IF(B123&gt;0,C123*$F$8,0)</f>
        <v>333.57839328023016</v>
      </c>
      <c r="E123" s="9">
        <f t="shared" ref="E123:E186" si="15">IF(B123&gt;0,C123+D123,0)</f>
        <v>38240.213993306381</v>
      </c>
      <c r="F123" s="8">
        <f t="shared" ref="F123:F186" si="16">IF(B123&gt;0,$D$8,0)</f>
        <v>200</v>
      </c>
      <c r="G123" s="16"/>
      <c r="H123" s="39">
        <f t="shared" ref="H123:H186" si="17">IF(B123&gt;0,E123+F123+G123,0)</f>
        <v>38440.213993306381</v>
      </c>
      <c r="I123" s="4"/>
    </row>
    <row r="124" spans="2:9" ht="14.25" customHeight="1" x14ac:dyDescent="0.2">
      <c r="B124" s="48">
        <f t="shared" si="12"/>
        <v>114</v>
      </c>
      <c r="C124" s="9">
        <f t="shared" si="13"/>
        <v>38440.213993306381</v>
      </c>
      <c r="D124" s="9">
        <f t="shared" si="14"/>
        <v>338.27388314109618</v>
      </c>
      <c r="E124" s="9">
        <f t="shared" si="15"/>
        <v>38778.487876447478</v>
      </c>
      <c r="F124" s="8">
        <f t="shared" si="16"/>
        <v>200</v>
      </c>
      <c r="G124" s="16"/>
      <c r="H124" s="39">
        <f t="shared" si="17"/>
        <v>38978.487876447478</v>
      </c>
      <c r="I124" s="4"/>
    </row>
    <row r="125" spans="2:9" ht="14.25" customHeight="1" x14ac:dyDescent="0.2">
      <c r="B125" s="47">
        <f t="shared" si="12"/>
        <v>115</v>
      </c>
      <c r="C125" s="8">
        <f t="shared" si="13"/>
        <v>38978.487876447478</v>
      </c>
      <c r="D125" s="8">
        <f t="shared" si="14"/>
        <v>343.01069331273783</v>
      </c>
      <c r="E125" s="8">
        <f t="shared" si="15"/>
        <v>39321.498569760217</v>
      </c>
      <c r="F125" s="8">
        <f t="shared" si="16"/>
        <v>200</v>
      </c>
      <c r="G125" s="16"/>
      <c r="H125" s="39">
        <f t="shared" si="17"/>
        <v>39521.498569760217</v>
      </c>
      <c r="I125" s="4"/>
    </row>
    <row r="126" spans="2:9" ht="14.25" customHeight="1" x14ac:dyDescent="0.2">
      <c r="B126" s="47">
        <f t="shared" si="12"/>
        <v>116</v>
      </c>
      <c r="C126" s="8">
        <f t="shared" si="13"/>
        <v>39521.498569760217</v>
      </c>
      <c r="D126" s="8">
        <f t="shared" si="14"/>
        <v>347.78918741388992</v>
      </c>
      <c r="E126" s="8">
        <f t="shared" si="15"/>
        <v>39869.287757174105</v>
      </c>
      <c r="F126" s="8">
        <f t="shared" si="16"/>
        <v>200</v>
      </c>
      <c r="G126" s="16"/>
      <c r="H126" s="39">
        <f t="shared" si="17"/>
        <v>40069.287757174105</v>
      </c>
      <c r="I126" s="4"/>
    </row>
    <row r="127" spans="2:9" ht="14.25" customHeight="1" x14ac:dyDescent="0.2">
      <c r="B127" s="47">
        <f t="shared" si="12"/>
        <v>117</v>
      </c>
      <c r="C127" s="8">
        <f t="shared" si="13"/>
        <v>40069.287757174105</v>
      </c>
      <c r="D127" s="8">
        <f t="shared" si="14"/>
        <v>352.60973226313212</v>
      </c>
      <c r="E127" s="8">
        <f t="shared" si="15"/>
        <v>40421.897489437237</v>
      </c>
      <c r="F127" s="8">
        <f t="shared" si="16"/>
        <v>200</v>
      </c>
      <c r="G127" s="16"/>
      <c r="H127" s="39">
        <f t="shared" si="17"/>
        <v>40621.897489437237</v>
      </c>
      <c r="I127" s="4"/>
    </row>
    <row r="128" spans="2:9" ht="14.25" customHeight="1" x14ac:dyDescent="0.2">
      <c r="B128" s="48">
        <f t="shared" si="12"/>
        <v>118</v>
      </c>
      <c r="C128" s="9">
        <f t="shared" si="13"/>
        <v>40621.897489437237</v>
      </c>
      <c r="D128" s="9">
        <f t="shared" si="14"/>
        <v>357.47269790704769</v>
      </c>
      <c r="E128" s="9">
        <f t="shared" si="15"/>
        <v>40979.370187344284</v>
      </c>
      <c r="F128" s="8">
        <f t="shared" si="16"/>
        <v>200</v>
      </c>
      <c r="G128" s="16"/>
      <c r="H128" s="39">
        <f t="shared" si="17"/>
        <v>41179.370187344284</v>
      </c>
      <c r="I128" s="4"/>
    </row>
    <row r="129" spans="2:9" ht="14.25" customHeight="1" x14ac:dyDescent="0.2">
      <c r="B129" s="48">
        <f t="shared" si="12"/>
        <v>119</v>
      </c>
      <c r="C129" s="9">
        <f t="shared" si="13"/>
        <v>41179.370187344284</v>
      </c>
      <c r="D129" s="9">
        <f t="shared" si="14"/>
        <v>362.37845764862971</v>
      </c>
      <c r="E129" s="9">
        <f t="shared" si="15"/>
        <v>41541.748644992913</v>
      </c>
      <c r="F129" s="8">
        <f t="shared" si="16"/>
        <v>200</v>
      </c>
      <c r="G129" s="16"/>
      <c r="H129" s="39">
        <f t="shared" si="17"/>
        <v>41741.748644992913</v>
      </c>
      <c r="I129" s="4"/>
    </row>
    <row r="130" spans="2:9" ht="14.25" customHeight="1" thickBot="1" x14ac:dyDescent="0.25">
      <c r="B130" s="49">
        <f t="shared" si="12"/>
        <v>120</v>
      </c>
      <c r="C130" s="40">
        <f t="shared" si="13"/>
        <v>41741.748644992913</v>
      </c>
      <c r="D130" s="40">
        <f t="shared" si="14"/>
        <v>367.32738807593768</v>
      </c>
      <c r="E130" s="40">
        <f t="shared" si="15"/>
        <v>42109.07603306885</v>
      </c>
      <c r="F130" s="41">
        <f t="shared" si="16"/>
        <v>200</v>
      </c>
      <c r="G130" s="42"/>
      <c r="H130" s="43">
        <f t="shared" si="17"/>
        <v>42309.07603306885</v>
      </c>
      <c r="I130" s="4"/>
    </row>
    <row r="131" spans="2:9" ht="14.25" customHeight="1" x14ac:dyDescent="0.2">
      <c r="B131" s="46">
        <f t="shared" si="12"/>
        <v>121</v>
      </c>
      <c r="C131" s="36">
        <f t="shared" si="13"/>
        <v>42309.07603306885</v>
      </c>
      <c r="D131" s="36">
        <f t="shared" si="14"/>
        <v>372.3198690910059</v>
      </c>
      <c r="E131" s="36">
        <f t="shared" si="15"/>
        <v>42681.395902159857</v>
      </c>
      <c r="F131" s="36">
        <f t="shared" si="16"/>
        <v>200</v>
      </c>
      <c r="G131" s="37"/>
      <c r="H131" s="38">
        <f t="shared" si="17"/>
        <v>42881.395902159857</v>
      </c>
      <c r="I131" s="4"/>
    </row>
    <row r="132" spans="2:9" ht="14.25" customHeight="1" x14ac:dyDescent="0.2">
      <c r="B132" s="47">
        <f t="shared" si="12"/>
        <v>122</v>
      </c>
      <c r="C132" s="8">
        <f t="shared" si="13"/>
        <v>42881.395902159857</v>
      </c>
      <c r="D132" s="8">
        <f t="shared" si="14"/>
        <v>377.35628393900674</v>
      </c>
      <c r="E132" s="8">
        <f t="shared" si="15"/>
        <v>43258.752186098864</v>
      </c>
      <c r="F132" s="8">
        <f t="shared" si="16"/>
        <v>200</v>
      </c>
      <c r="G132" s="16"/>
      <c r="H132" s="39">
        <f t="shared" si="17"/>
        <v>43458.752186098864</v>
      </c>
      <c r="I132" s="4"/>
    </row>
    <row r="133" spans="2:9" ht="14.25" customHeight="1" x14ac:dyDescent="0.2">
      <c r="B133" s="47">
        <f t="shared" si="12"/>
        <v>123</v>
      </c>
      <c r="C133" s="8">
        <f t="shared" si="13"/>
        <v>43458.752186098864</v>
      </c>
      <c r="D133" s="8">
        <f t="shared" si="14"/>
        <v>382.43701923767003</v>
      </c>
      <c r="E133" s="8">
        <f t="shared" si="15"/>
        <v>43841.18920533653</v>
      </c>
      <c r="F133" s="8">
        <f t="shared" si="16"/>
        <v>200</v>
      </c>
      <c r="G133" s="16"/>
      <c r="H133" s="39">
        <f t="shared" si="17"/>
        <v>44041.18920533653</v>
      </c>
      <c r="I133" s="4"/>
    </row>
    <row r="134" spans="2:9" ht="14.25" customHeight="1" x14ac:dyDescent="0.2">
      <c r="B134" s="48">
        <f t="shared" si="12"/>
        <v>124</v>
      </c>
      <c r="C134" s="9">
        <f t="shared" si="13"/>
        <v>44041.18920533653</v>
      </c>
      <c r="D134" s="9">
        <f t="shared" si="14"/>
        <v>387.56246500696147</v>
      </c>
      <c r="E134" s="9">
        <f t="shared" si="15"/>
        <v>44428.751670343489</v>
      </c>
      <c r="F134" s="8">
        <f t="shared" si="16"/>
        <v>200</v>
      </c>
      <c r="G134" s="16"/>
      <c r="H134" s="39">
        <f t="shared" si="17"/>
        <v>44628.751670343489</v>
      </c>
      <c r="I134" s="4"/>
    </row>
    <row r="135" spans="2:9" ht="14.25" customHeight="1" x14ac:dyDescent="0.2">
      <c r="B135" s="48">
        <f t="shared" si="12"/>
        <v>125</v>
      </c>
      <c r="C135" s="9">
        <f t="shared" si="13"/>
        <v>44628.751670343489</v>
      </c>
      <c r="D135" s="9">
        <f t="shared" si="14"/>
        <v>392.7330146990227</v>
      </c>
      <c r="E135" s="9">
        <f t="shared" si="15"/>
        <v>45021.484685042509</v>
      </c>
      <c r="F135" s="8">
        <f t="shared" si="16"/>
        <v>200</v>
      </c>
      <c r="G135" s="16"/>
      <c r="H135" s="39">
        <f t="shared" si="17"/>
        <v>45221.484685042509</v>
      </c>
      <c r="I135" s="4"/>
    </row>
    <row r="136" spans="2:9" ht="14.25" customHeight="1" x14ac:dyDescent="0.2">
      <c r="B136" s="48">
        <f t="shared" si="12"/>
        <v>126</v>
      </c>
      <c r="C136" s="9">
        <f t="shared" si="13"/>
        <v>45221.484685042509</v>
      </c>
      <c r="D136" s="9">
        <f t="shared" si="14"/>
        <v>397.94906522837408</v>
      </c>
      <c r="E136" s="9">
        <f t="shared" si="15"/>
        <v>45619.43375027088</v>
      </c>
      <c r="F136" s="8">
        <f t="shared" si="16"/>
        <v>200</v>
      </c>
      <c r="G136" s="16"/>
      <c r="H136" s="39">
        <f t="shared" si="17"/>
        <v>45819.43375027088</v>
      </c>
      <c r="I136" s="4"/>
    </row>
    <row r="137" spans="2:9" ht="14.25" customHeight="1" x14ac:dyDescent="0.2">
      <c r="B137" s="47">
        <f t="shared" si="12"/>
        <v>127</v>
      </c>
      <c r="C137" s="8">
        <f t="shared" si="13"/>
        <v>45819.43375027088</v>
      </c>
      <c r="D137" s="8">
        <f t="shared" si="14"/>
        <v>403.21101700238376</v>
      </c>
      <c r="E137" s="8">
        <f t="shared" si="15"/>
        <v>46222.644767273261</v>
      </c>
      <c r="F137" s="8">
        <f t="shared" si="16"/>
        <v>200</v>
      </c>
      <c r="G137" s="16"/>
      <c r="H137" s="39">
        <f t="shared" si="17"/>
        <v>46422.644767273261</v>
      </c>
      <c r="I137" s="4"/>
    </row>
    <row r="138" spans="2:9" ht="14.25" customHeight="1" x14ac:dyDescent="0.2">
      <c r="B138" s="47">
        <f t="shared" si="12"/>
        <v>128</v>
      </c>
      <c r="C138" s="8">
        <f t="shared" si="13"/>
        <v>46422.644767273261</v>
      </c>
      <c r="D138" s="8">
        <f t="shared" si="14"/>
        <v>408.51927395200471</v>
      </c>
      <c r="E138" s="8">
        <f t="shared" si="15"/>
        <v>46831.164041225267</v>
      </c>
      <c r="F138" s="8">
        <f t="shared" si="16"/>
        <v>200</v>
      </c>
      <c r="G138" s="16"/>
      <c r="H138" s="39">
        <f t="shared" si="17"/>
        <v>47031.164041225267</v>
      </c>
      <c r="I138" s="4"/>
    </row>
    <row r="139" spans="2:9" ht="14.25" customHeight="1" x14ac:dyDescent="0.2">
      <c r="B139" s="47">
        <f t="shared" si="12"/>
        <v>129</v>
      </c>
      <c r="C139" s="8">
        <f t="shared" si="13"/>
        <v>47031.164041225267</v>
      </c>
      <c r="D139" s="8">
        <f t="shared" si="14"/>
        <v>413.8742435627824</v>
      </c>
      <c r="E139" s="8">
        <f t="shared" si="15"/>
        <v>47445.038284788046</v>
      </c>
      <c r="F139" s="8">
        <f t="shared" si="16"/>
        <v>200</v>
      </c>
      <c r="G139" s="16"/>
      <c r="H139" s="39">
        <f t="shared" si="17"/>
        <v>47645.038284788046</v>
      </c>
      <c r="I139" s="4"/>
    </row>
    <row r="140" spans="2:9" ht="14.25" customHeight="1" x14ac:dyDescent="0.2">
      <c r="B140" s="48">
        <f t="shared" si="12"/>
        <v>130</v>
      </c>
      <c r="C140" s="9">
        <f t="shared" si="13"/>
        <v>47645.038284788046</v>
      </c>
      <c r="D140" s="9">
        <f t="shared" si="14"/>
        <v>419.27633690613482</v>
      </c>
      <c r="E140" s="9">
        <f t="shared" si="15"/>
        <v>48064.314621694182</v>
      </c>
      <c r="F140" s="8">
        <f t="shared" si="16"/>
        <v>200</v>
      </c>
      <c r="G140" s="16"/>
      <c r="H140" s="39">
        <f t="shared" si="17"/>
        <v>48264.314621694182</v>
      </c>
      <c r="I140" s="4"/>
    </row>
    <row r="141" spans="2:9" ht="14.25" customHeight="1" x14ac:dyDescent="0.2">
      <c r="B141" s="48">
        <f t="shared" si="12"/>
        <v>131</v>
      </c>
      <c r="C141" s="9">
        <f t="shared" si="13"/>
        <v>48264.314621694182</v>
      </c>
      <c r="D141" s="9">
        <f t="shared" si="14"/>
        <v>424.72596867090886</v>
      </c>
      <c r="E141" s="9">
        <f t="shared" si="15"/>
        <v>48689.04059036509</v>
      </c>
      <c r="F141" s="8">
        <f t="shared" si="16"/>
        <v>200</v>
      </c>
      <c r="G141" s="16"/>
      <c r="H141" s="39">
        <f t="shared" si="17"/>
        <v>48889.04059036509</v>
      </c>
      <c r="I141" s="4"/>
    </row>
    <row r="142" spans="2:9" ht="14.25" customHeight="1" thickBot="1" x14ac:dyDescent="0.25">
      <c r="B142" s="49">
        <f t="shared" si="12"/>
        <v>132</v>
      </c>
      <c r="C142" s="40">
        <f t="shared" si="13"/>
        <v>48889.04059036509</v>
      </c>
      <c r="D142" s="40">
        <f t="shared" si="14"/>
        <v>430.22355719521283</v>
      </c>
      <c r="E142" s="40">
        <f t="shared" si="15"/>
        <v>49319.264147560301</v>
      </c>
      <c r="F142" s="41">
        <f t="shared" si="16"/>
        <v>200</v>
      </c>
      <c r="G142" s="42"/>
      <c r="H142" s="43">
        <f t="shared" si="17"/>
        <v>49519.264147560301</v>
      </c>
      <c r="I142" s="4"/>
    </row>
    <row r="143" spans="2:9" ht="14.25" customHeight="1" x14ac:dyDescent="0.2">
      <c r="B143" s="46">
        <f t="shared" si="12"/>
        <v>133</v>
      </c>
      <c r="C143" s="36">
        <f t="shared" si="13"/>
        <v>49519.264147560301</v>
      </c>
      <c r="D143" s="36">
        <f t="shared" si="14"/>
        <v>435.7695244985307</v>
      </c>
      <c r="E143" s="36">
        <f t="shared" si="15"/>
        <v>49955.033672058831</v>
      </c>
      <c r="F143" s="36">
        <f t="shared" si="16"/>
        <v>200</v>
      </c>
      <c r="G143" s="37"/>
      <c r="H143" s="38">
        <f t="shared" si="17"/>
        <v>50155.033672058831</v>
      </c>
      <c r="I143" s="4"/>
    </row>
    <row r="144" spans="2:9" ht="14.25" customHeight="1" x14ac:dyDescent="0.2">
      <c r="B144" s="47">
        <f t="shared" si="12"/>
        <v>134</v>
      </c>
      <c r="C144" s="8">
        <f t="shared" si="13"/>
        <v>50155.033672058831</v>
      </c>
      <c r="D144" s="8">
        <f t="shared" si="14"/>
        <v>441.36429631411772</v>
      </c>
      <c r="E144" s="8">
        <f t="shared" si="15"/>
        <v>50596.397968372949</v>
      </c>
      <c r="F144" s="8">
        <f t="shared" si="16"/>
        <v>200</v>
      </c>
      <c r="G144" s="16"/>
      <c r="H144" s="39">
        <f t="shared" si="17"/>
        <v>50796.397968372949</v>
      </c>
      <c r="I144" s="4"/>
    </row>
    <row r="145" spans="2:9" ht="14.25" customHeight="1" x14ac:dyDescent="0.2">
      <c r="B145" s="47">
        <f t="shared" si="12"/>
        <v>135</v>
      </c>
      <c r="C145" s="8">
        <f t="shared" si="13"/>
        <v>50796.397968372949</v>
      </c>
      <c r="D145" s="8">
        <f t="shared" si="14"/>
        <v>447.00830212168199</v>
      </c>
      <c r="E145" s="8">
        <f t="shared" si="15"/>
        <v>51243.406270494634</v>
      </c>
      <c r="F145" s="8">
        <f t="shared" si="16"/>
        <v>200</v>
      </c>
      <c r="G145" s="16"/>
      <c r="H145" s="39">
        <f t="shared" si="17"/>
        <v>51443.406270494634</v>
      </c>
      <c r="I145" s="4"/>
    </row>
    <row r="146" spans="2:9" ht="14.25" customHeight="1" x14ac:dyDescent="0.2">
      <c r="B146" s="48">
        <f t="shared" si="12"/>
        <v>136</v>
      </c>
      <c r="C146" s="9">
        <f t="shared" si="13"/>
        <v>51443.406270494634</v>
      </c>
      <c r="D146" s="9">
        <f t="shared" si="14"/>
        <v>452.7019751803528</v>
      </c>
      <c r="E146" s="9">
        <f t="shared" si="15"/>
        <v>51896.108245674986</v>
      </c>
      <c r="F146" s="8">
        <f t="shared" si="16"/>
        <v>200</v>
      </c>
      <c r="G146" s="16"/>
      <c r="H146" s="39">
        <f t="shared" si="17"/>
        <v>52096.108245674986</v>
      </c>
      <c r="I146" s="4"/>
    </row>
    <row r="147" spans="2:9" ht="14.25" customHeight="1" x14ac:dyDescent="0.2">
      <c r="B147" s="48">
        <f t="shared" si="12"/>
        <v>137</v>
      </c>
      <c r="C147" s="9">
        <f t="shared" si="13"/>
        <v>52096.108245674986</v>
      </c>
      <c r="D147" s="9">
        <f t="shared" si="14"/>
        <v>458.44575256193991</v>
      </c>
      <c r="E147" s="9">
        <f t="shared" si="15"/>
        <v>52554.553998236923</v>
      </c>
      <c r="F147" s="8">
        <f t="shared" si="16"/>
        <v>200</v>
      </c>
      <c r="G147" s="16"/>
      <c r="H147" s="39">
        <f t="shared" si="17"/>
        <v>52754.553998236923</v>
      </c>
      <c r="I147" s="4"/>
    </row>
    <row r="148" spans="2:9" ht="14.25" customHeight="1" x14ac:dyDescent="0.2">
      <c r="B148" s="48">
        <f t="shared" si="12"/>
        <v>138</v>
      </c>
      <c r="C148" s="9">
        <f t="shared" si="13"/>
        <v>52754.553998236923</v>
      </c>
      <c r="D148" s="9">
        <f t="shared" si="14"/>
        <v>464.24007518448497</v>
      </c>
      <c r="E148" s="9">
        <f t="shared" si="15"/>
        <v>53218.794073421406</v>
      </c>
      <c r="F148" s="8">
        <f t="shared" si="16"/>
        <v>200</v>
      </c>
      <c r="G148" s="16"/>
      <c r="H148" s="39">
        <f t="shared" si="17"/>
        <v>53418.794073421406</v>
      </c>
      <c r="I148" s="4"/>
    </row>
    <row r="149" spans="2:9" ht="14.25" customHeight="1" x14ac:dyDescent="0.2">
      <c r="B149" s="47">
        <f t="shared" si="12"/>
        <v>139</v>
      </c>
      <c r="C149" s="8">
        <f t="shared" si="13"/>
        <v>53418.794073421406</v>
      </c>
      <c r="D149" s="8">
        <f t="shared" si="14"/>
        <v>470.0853878461084</v>
      </c>
      <c r="E149" s="8">
        <f t="shared" si="15"/>
        <v>53888.879461267512</v>
      </c>
      <c r="F149" s="8">
        <f t="shared" si="16"/>
        <v>200</v>
      </c>
      <c r="G149" s="16"/>
      <c r="H149" s="39">
        <f t="shared" si="17"/>
        <v>54088.879461267512</v>
      </c>
      <c r="I149" s="4"/>
    </row>
    <row r="150" spans="2:9" ht="14.25" customHeight="1" x14ac:dyDescent="0.2">
      <c r="B150" s="47">
        <f t="shared" si="12"/>
        <v>140</v>
      </c>
      <c r="C150" s="8">
        <f t="shared" si="13"/>
        <v>54088.879461267512</v>
      </c>
      <c r="D150" s="8">
        <f t="shared" si="14"/>
        <v>475.98213925915411</v>
      </c>
      <c r="E150" s="8">
        <f t="shared" si="15"/>
        <v>54564.861600526667</v>
      </c>
      <c r="F150" s="8">
        <f t="shared" si="16"/>
        <v>200</v>
      </c>
      <c r="G150" s="16"/>
      <c r="H150" s="39">
        <f t="shared" si="17"/>
        <v>54764.861600526667</v>
      </c>
      <c r="I150" s="4"/>
    </row>
    <row r="151" spans="2:9" ht="14.25" customHeight="1" x14ac:dyDescent="0.2">
      <c r="B151" s="47">
        <f t="shared" si="12"/>
        <v>141</v>
      </c>
      <c r="C151" s="8">
        <f t="shared" si="13"/>
        <v>54764.861600526667</v>
      </c>
      <c r="D151" s="8">
        <f t="shared" si="14"/>
        <v>481.9307820846347</v>
      </c>
      <c r="E151" s="8">
        <f t="shared" si="15"/>
        <v>55246.792382611304</v>
      </c>
      <c r="F151" s="8">
        <f t="shared" si="16"/>
        <v>200</v>
      </c>
      <c r="G151" s="16"/>
      <c r="H151" s="39">
        <f t="shared" si="17"/>
        <v>55446.792382611304</v>
      </c>
      <c r="I151" s="4"/>
    </row>
    <row r="152" spans="2:9" ht="14.25" customHeight="1" x14ac:dyDescent="0.2">
      <c r="B152" s="48">
        <f t="shared" si="12"/>
        <v>142</v>
      </c>
      <c r="C152" s="9">
        <f t="shared" si="13"/>
        <v>55446.792382611304</v>
      </c>
      <c r="D152" s="9">
        <f t="shared" si="14"/>
        <v>487.93177296697951</v>
      </c>
      <c r="E152" s="9">
        <f t="shared" si="15"/>
        <v>55934.724155578282</v>
      </c>
      <c r="F152" s="8">
        <f t="shared" si="16"/>
        <v>200</v>
      </c>
      <c r="G152" s="16"/>
      <c r="H152" s="39">
        <f t="shared" si="17"/>
        <v>56134.724155578282</v>
      </c>
      <c r="I152" s="4"/>
    </row>
    <row r="153" spans="2:9" ht="14.25" customHeight="1" x14ac:dyDescent="0.2">
      <c r="B153" s="48">
        <f t="shared" si="12"/>
        <v>143</v>
      </c>
      <c r="C153" s="9">
        <f t="shared" si="13"/>
        <v>56134.724155578282</v>
      </c>
      <c r="D153" s="9">
        <f t="shared" si="14"/>
        <v>493.9855725690889</v>
      </c>
      <c r="E153" s="9">
        <f t="shared" si="15"/>
        <v>56628.709728147369</v>
      </c>
      <c r="F153" s="8">
        <f t="shared" si="16"/>
        <v>200</v>
      </c>
      <c r="G153" s="16"/>
      <c r="H153" s="39">
        <f t="shared" si="17"/>
        <v>56828.709728147369</v>
      </c>
      <c r="I153" s="4"/>
    </row>
    <row r="154" spans="2:9" ht="14.25" customHeight="1" thickBot="1" x14ac:dyDescent="0.25">
      <c r="B154" s="49">
        <f t="shared" si="12"/>
        <v>144</v>
      </c>
      <c r="C154" s="40">
        <f t="shared" si="13"/>
        <v>56828.709728147369</v>
      </c>
      <c r="D154" s="40">
        <f t="shared" si="14"/>
        <v>500.09264560769685</v>
      </c>
      <c r="E154" s="40">
        <f t="shared" si="15"/>
        <v>57328.802373755068</v>
      </c>
      <c r="F154" s="41">
        <f t="shared" si="16"/>
        <v>200</v>
      </c>
      <c r="G154" s="42"/>
      <c r="H154" s="43">
        <f t="shared" si="17"/>
        <v>57528.802373755068</v>
      </c>
      <c r="I154" s="4"/>
    </row>
    <row r="155" spans="2:9" ht="14.25" customHeight="1" x14ac:dyDescent="0.2">
      <c r="B155" s="46">
        <f t="shared" si="12"/>
        <v>145</v>
      </c>
      <c r="C155" s="36">
        <f t="shared" si="13"/>
        <v>57528.802373755068</v>
      </c>
      <c r="D155" s="36">
        <f t="shared" si="14"/>
        <v>506.25346088904462</v>
      </c>
      <c r="E155" s="36">
        <f t="shared" si="15"/>
        <v>58035.05583464411</v>
      </c>
      <c r="F155" s="36">
        <f t="shared" si="16"/>
        <v>200</v>
      </c>
      <c r="G155" s="37"/>
      <c r="H155" s="38">
        <f t="shared" si="17"/>
        <v>58235.05583464411</v>
      </c>
      <c r="I155" s="4"/>
    </row>
    <row r="156" spans="2:9" ht="14.25" customHeight="1" x14ac:dyDescent="0.2">
      <c r="B156" s="47">
        <f t="shared" si="12"/>
        <v>146</v>
      </c>
      <c r="C156" s="8">
        <f t="shared" si="13"/>
        <v>58235.05583464411</v>
      </c>
      <c r="D156" s="8">
        <f t="shared" si="14"/>
        <v>512.4684913448682</v>
      </c>
      <c r="E156" s="8">
        <f t="shared" si="15"/>
        <v>58747.524325988976</v>
      </c>
      <c r="F156" s="8">
        <f t="shared" si="16"/>
        <v>200</v>
      </c>
      <c r="G156" s="16"/>
      <c r="H156" s="39">
        <f t="shared" si="17"/>
        <v>58947.524325988976</v>
      </c>
      <c r="I156" s="4"/>
    </row>
    <row r="157" spans="2:9" ht="14.25" customHeight="1" x14ac:dyDescent="0.2">
      <c r="B157" s="47">
        <f t="shared" si="12"/>
        <v>147</v>
      </c>
      <c r="C157" s="8">
        <f t="shared" si="13"/>
        <v>58947.524325988976</v>
      </c>
      <c r="D157" s="8">
        <f t="shared" si="14"/>
        <v>518.73821406870297</v>
      </c>
      <c r="E157" s="8">
        <f t="shared" si="15"/>
        <v>59466.26254005768</v>
      </c>
      <c r="F157" s="8">
        <f t="shared" si="16"/>
        <v>200</v>
      </c>
      <c r="G157" s="16"/>
      <c r="H157" s="39">
        <f t="shared" si="17"/>
        <v>59666.26254005768</v>
      </c>
      <c r="I157" s="4"/>
    </row>
    <row r="158" spans="2:9" ht="14.25" customHeight="1" x14ac:dyDescent="0.2">
      <c r="B158" s="48">
        <f t="shared" si="12"/>
        <v>148</v>
      </c>
      <c r="C158" s="9">
        <f t="shared" si="13"/>
        <v>59666.26254005768</v>
      </c>
      <c r="D158" s="9">
        <f t="shared" si="14"/>
        <v>525.06311035250758</v>
      </c>
      <c r="E158" s="9">
        <f t="shared" si="15"/>
        <v>60191.325650410188</v>
      </c>
      <c r="F158" s="8">
        <f t="shared" si="16"/>
        <v>200</v>
      </c>
      <c r="G158" s="16"/>
      <c r="H158" s="39">
        <f t="shared" si="17"/>
        <v>60391.325650410188</v>
      </c>
      <c r="I158" s="4"/>
    </row>
    <row r="159" spans="2:9" ht="14.25" customHeight="1" x14ac:dyDescent="0.2">
      <c r="B159" s="48">
        <f t="shared" si="12"/>
        <v>149</v>
      </c>
      <c r="C159" s="9">
        <f t="shared" si="13"/>
        <v>60391.325650410188</v>
      </c>
      <c r="D159" s="9">
        <f t="shared" si="14"/>
        <v>531.44366572360968</v>
      </c>
      <c r="E159" s="9">
        <f t="shared" si="15"/>
        <v>60922.769316133796</v>
      </c>
      <c r="F159" s="8">
        <f t="shared" si="16"/>
        <v>200</v>
      </c>
      <c r="G159" s="16"/>
      <c r="H159" s="39">
        <f t="shared" si="17"/>
        <v>61122.769316133796</v>
      </c>
      <c r="I159" s="4"/>
    </row>
    <row r="160" spans="2:9" ht="14.25" customHeight="1" x14ac:dyDescent="0.2">
      <c r="B160" s="48">
        <f t="shared" si="12"/>
        <v>150</v>
      </c>
      <c r="C160" s="9">
        <f t="shared" si="13"/>
        <v>61122.769316133796</v>
      </c>
      <c r="D160" s="9">
        <f t="shared" si="14"/>
        <v>537.88036998197742</v>
      </c>
      <c r="E160" s="9">
        <f t="shared" si="15"/>
        <v>61660.649686115772</v>
      </c>
      <c r="F160" s="8">
        <f t="shared" si="16"/>
        <v>200</v>
      </c>
      <c r="G160" s="16"/>
      <c r="H160" s="39">
        <f t="shared" si="17"/>
        <v>61860.649686115772</v>
      </c>
      <c r="I160" s="4"/>
    </row>
    <row r="161" spans="2:9" ht="14.25" customHeight="1" x14ac:dyDescent="0.2">
      <c r="B161" s="47">
        <f t="shared" si="12"/>
        <v>151</v>
      </c>
      <c r="C161" s="8">
        <f t="shared" si="13"/>
        <v>61860.649686115772</v>
      </c>
      <c r="D161" s="8">
        <f t="shared" si="14"/>
        <v>544.37371723781882</v>
      </c>
      <c r="E161" s="8">
        <f t="shared" si="15"/>
        <v>62405.023403353589</v>
      </c>
      <c r="F161" s="8">
        <f t="shared" si="16"/>
        <v>200</v>
      </c>
      <c r="G161" s="16"/>
      <c r="H161" s="39">
        <f t="shared" si="17"/>
        <v>62605.023403353589</v>
      </c>
      <c r="I161" s="4"/>
    </row>
    <row r="162" spans="2:9" ht="14.25" customHeight="1" x14ac:dyDescent="0.2">
      <c r="B162" s="47">
        <f t="shared" si="12"/>
        <v>152</v>
      </c>
      <c r="C162" s="8">
        <f t="shared" si="13"/>
        <v>62605.023403353589</v>
      </c>
      <c r="D162" s="8">
        <f t="shared" si="14"/>
        <v>550.92420594951159</v>
      </c>
      <c r="E162" s="8">
        <f t="shared" si="15"/>
        <v>63155.947609303097</v>
      </c>
      <c r="F162" s="8">
        <f t="shared" si="16"/>
        <v>200</v>
      </c>
      <c r="G162" s="16"/>
      <c r="H162" s="39">
        <f t="shared" si="17"/>
        <v>63355.947609303097</v>
      </c>
      <c r="I162" s="4"/>
    </row>
    <row r="163" spans="2:9" ht="14.25" customHeight="1" x14ac:dyDescent="0.2">
      <c r="B163" s="47">
        <f t="shared" si="12"/>
        <v>153</v>
      </c>
      <c r="C163" s="8">
        <f t="shared" si="13"/>
        <v>63355.947609303097</v>
      </c>
      <c r="D163" s="8">
        <f t="shared" si="14"/>
        <v>557.53233896186725</v>
      </c>
      <c r="E163" s="8">
        <f t="shared" si="15"/>
        <v>63913.479948264961</v>
      </c>
      <c r="F163" s="8">
        <f t="shared" si="16"/>
        <v>200</v>
      </c>
      <c r="G163" s="16"/>
      <c r="H163" s="39">
        <f t="shared" si="17"/>
        <v>64113.479948264961</v>
      </c>
      <c r="I163" s="4"/>
    </row>
    <row r="164" spans="2:9" ht="14.25" customHeight="1" x14ac:dyDescent="0.2">
      <c r="B164" s="48">
        <f t="shared" si="12"/>
        <v>154</v>
      </c>
      <c r="C164" s="9">
        <f t="shared" si="13"/>
        <v>64113.479948264961</v>
      </c>
      <c r="D164" s="9">
        <f t="shared" si="14"/>
        <v>564.19862354473173</v>
      </c>
      <c r="E164" s="9">
        <f t="shared" si="15"/>
        <v>64677.678571809694</v>
      </c>
      <c r="F164" s="8">
        <f t="shared" si="16"/>
        <v>200</v>
      </c>
      <c r="G164" s="16"/>
      <c r="H164" s="39">
        <f t="shared" si="17"/>
        <v>64877.678571809694</v>
      </c>
      <c r="I164" s="4"/>
    </row>
    <row r="165" spans="2:9" ht="14.25" customHeight="1" x14ac:dyDescent="0.2">
      <c r="B165" s="48">
        <f t="shared" si="12"/>
        <v>155</v>
      </c>
      <c r="C165" s="9">
        <f t="shared" si="13"/>
        <v>64877.678571809694</v>
      </c>
      <c r="D165" s="9">
        <f t="shared" si="14"/>
        <v>570.92357143192532</v>
      </c>
      <c r="E165" s="9">
        <f t="shared" si="15"/>
        <v>65448.602143241616</v>
      </c>
      <c r="F165" s="8">
        <f t="shared" si="16"/>
        <v>200</v>
      </c>
      <c r="G165" s="16"/>
      <c r="H165" s="39">
        <f t="shared" si="17"/>
        <v>65648.602143241616</v>
      </c>
      <c r="I165" s="4"/>
    </row>
    <row r="166" spans="2:9" ht="14.25" customHeight="1" thickBot="1" x14ac:dyDescent="0.25">
      <c r="B166" s="49">
        <f t="shared" si="12"/>
        <v>156</v>
      </c>
      <c r="C166" s="40">
        <f t="shared" si="13"/>
        <v>65648.602143241616</v>
      </c>
      <c r="D166" s="40">
        <f t="shared" si="14"/>
        <v>577.70769886052631</v>
      </c>
      <c r="E166" s="40">
        <f t="shared" si="15"/>
        <v>66226.309842102142</v>
      </c>
      <c r="F166" s="41">
        <f t="shared" si="16"/>
        <v>200</v>
      </c>
      <c r="G166" s="42"/>
      <c r="H166" s="43">
        <f t="shared" si="17"/>
        <v>66426.309842102142</v>
      </c>
      <c r="I166" s="4"/>
    </row>
    <row r="167" spans="2:9" ht="14.25" customHeight="1" x14ac:dyDescent="0.2">
      <c r="B167" s="46">
        <f t="shared" si="12"/>
        <v>157</v>
      </c>
      <c r="C167" s="36">
        <f t="shared" si="13"/>
        <v>66426.309842102142</v>
      </c>
      <c r="D167" s="36">
        <f t="shared" si="14"/>
        <v>584.55152661049885</v>
      </c>
      <c r="E167" s="36">
        <f t="shared" si="15"/>
        <v>67010.861368712634</v>
      </c>
      <c r="F167" s="36">
        <f t="shared" si="16"/>
        <v>200</v>
      </c>
      <c r="G167" s="37"/>
      <c r="H167" s="38">
        <f t="shared" si="17"/>
        <v>67210.861368712634</v>
      </c>
      <c r="I167" s="4"/>
    </row>
    <row r="168" spans="2:9" ht="14.25" customHeight="1" x14ac:dyDescent="0.2">
      <c r="B168" s="47">
        <f t="shared" si="12"/>
        <v>158</v>
      </c>
      <c r="C168" s="8">
        <f t="shared" si="13"/>
        <v>67210.861368712634</v>
      </c>
      <c r="D168" s="8">
        <f t="shared" si="14"/>
        <v>591.45558004467125</v>
      </c>
      <c r="E168" s="8">
        <f t="shared" si="15"/>
        <v>67802.316948757303</v>
      </c>
      <c r="F168" s="8">
        <f t="shared" si="16"/>
        <v>200</v>
      </c>
      <c r="G168" s="16"/>
      <c r="H168" s="39">
        <f t="shared" si="17"/>
        <v>68002.316948757303</v>
      </c>
      <c r="I168" s="4"/>
    </row>
    <row r="169" spans="2:9" ht="14.25" customHeight="1" x14ac:dyDescent="0.2">
      <c r="B169" s="47">
        <f t="shared" si="12"/>
        <v>159</v>
      </c>
      <c r="C169" s="8">
        <f t="shared" si="13"/>
        <v>68002.316948757303</v>
      </c>
      <c r="D169" s="8">
        <f t="shared" si="14"/>
        <v>598.42038914906425</v>
      </c>
      <c r="E169" s="8">
        <f t="shared" si="15"/>
        <v>68600.737337906365</v>
      </c>
      <c r="F169" s="8">
        <f t="shared" si="16"/>
        <v>200</v>
      </c>
      <c r="G169" s="16"/>
      <c r="H169" s="39">
        <f t="shared" si="17"/>
        <v>68800.737337906365</v>
      </c>
      <c r="I169" s="4"/>
    </row>
    <row r="170" spans="2:9" ht="14.25" customHeight="1" x14ac:dyDescent="0.2">
      <c r="B170" s="48">
        <f t="shared" si="12"/>
        <v>160</v>
      </c>
      <c r="C170" s="9">
        <f t="shared" si="13"/>
        <v>68800.737337906365</v>
      </c>
      <c r="D170" s="9">
        <f t="shared" si="14"/>
        <v>605.44648857357606</v>
      </c>
      <c r="E170" s="9">
        <f t="shared" si="15"/>
        <v>69406.183826479944</v>
      </c>
      <c r="F170" s="8">
        <f t="shared" si="16"/>
        <v>200</v>
      </c>
      <c r="G170" s="16"/>
      <c r="H170" s="39">
        <f t="shared" si="17"/>
        <v>69606.183826479944</v>
      </c>
      <c r="I170" s="4"/>
    </row>
    <row r="171" spans="2:9" ht="14.25" customHeight="1" x14ac:dyDescent="0.2">
      <c r="B171" s="48">
        <f t="shared" si="12"/>
        <v>161</v>
      </c>
      <c r="C171" s="9">
        <f t="shared" si="13"/>
        <v>69606.183826479944</v>
      </c>
      <c r="D171" s="9">
        <f t="shared" si="14"/>
        <v>612.53441767302354</v>
      </c>
      <c r="E171" s="9">
        <f t="shared" si="15"/>
        <v>70218.718244152973</v>
      </c>
      <c r="F171" s="8">
        <f t="shared" si="16"/>
        <v>200</v>
      </c>
      <c r="G171" s="16"/>
      <c r="H171" s="39">
        <f t="shared" si="17"/>
        <v>70418.718244152973</v>
      </c>
      <c r="I171" s="4"/>
    </row>
    <row r="172" spans="2:9" ht="14.25" customHeight="1" x14ac:dyDescent="0.2">
      <c r="B172" s="48">
        <f t="shared" si="12"/>
        <v>162</v>
      </c>
      <c r="C172" s="9">
        <f t="shared" si="13"/>
        <v>70418.718244152973</v>
      </c>
      <c r="D172" s="9">
        <f t="shared" si="14"/>
        <v>619.68472054854624</v>
      </c>
      <c r="E172" s="9">
        <f t="shared" si="15"/>
        <v>71038.402964701512</v>
      </c>
      <c r="F172" s="8">
        <f t="shared" si="16"/>
        <v>200</v>
      </c>
      <c r="G172" s="16"/>
      <c r="H172" s="39">
        <f t="shared" si="17"/>
        <v>71238.402964701512</v>
      </c>
      <c r="I172" s="4"/>
    </row>
    <row r="173" spans="2:9" ht="14.25" customHeight="1" x14ac:dyDescent="0.2">
      <c r="B173" s="47">
        <f t="shared" si="12"/>
        <v>163</v>
      </c>
      <c r="C173" s="8">
        <f t="shared" si="13"/>
        <v>71238.402964701512</v>
      </c>
      <c r="D173" s="8">
        <f t="shared" si="14"/>
        <v>626.89794608937336</v>
      </c>
      <c r="E173" s="8">
        <f t="shared" si="15"/>
        <v>71865.300910790887</v>
      </c>
      <c r="F173" s="8">
        <f t="shared" si="16"/>
        <v>200</v>
      </c>
      <c r="G173" s="16"/>
      <c r="H173" s="39">
        <f t="shared" si="17"/>
        <v>72065.300910790887</v>
      </c>
      <c r="I173" s="4"/>
    </row>
    <row r="174" spans="2:9" ht="14.25" customHeight="1" x14ac:dyDescent="0.2">
      <c r="B174" s="47">
        <f t="shared" si="12"/>
        <v>164</v>
      </c>
      <c r="C174" s="8">
        <f t="shared" si="13"/>
        <v>72065.300910790887</v>
      </c>
      <c r="D174" s="8">
        <f t="shared" si="14"/>
        <v>634.17464801495987</v>
      </c>
      <c r="E174" s="8">
        <f t="shared" si="15"/>
        <v>72699.475558805847</v>
      </c>
      <c r="F174" s="8">
        <f t="shared" si="16"/>
        <v>200</v>
      </c>
      <c r="G174" s="16"/>
      <c r="H174" s="39">
        <f t="shared" si="17"/>
        <v>72899.475558805847</v>
      </c>
      <c r="I174" s="4"/>
    </row>
    <row r="175" spans="2:9" ht="14.25" customHeight="1" x14ac:dyDescent="0.2">
      <c r="B175" s="47">
        <f t="shared" si="12"/>
        <v>165</v>
      </c>
      <c r="C175" s="8">
        <f t="shared" si="13"/>
        <v>72899.475558805847</v>
      </c>
      <c r="D175" s="8">
        <f t="shared" si="14"/>
        <v>641.51538491749147</v>
      </c>
      <c r="E175" s="8">
        <f t="shared" si="15"/>
        <v>73540.990943723344</v>
      </c>
      <c r="F175" s="8">
        <f t="shared" si="16"/>
        <v>200</v>
      </c>
      <c r="G175" s="16"/>
      <c r="H175" s="39">
        <f t="shared" si="17"/>
        <v>73740.990943723344</v>
      </c>
      <c r="I175" s="4"/>
    </row>
    <row r="176" spans="2:9" ht="14.25" customHeight="1" x14ac:dyDescent="0.2">
      <c r="B176" s="48">
        <f t="shared" si="12"/>
        <v>166</v>
      </c>
      <c r="C176" s="9">
        <f t="shared" si="13"/>
        <v>73740.990943723344</v>
      </c>
      <c r="D176" s="9">
        <f t="shared" si="14"/>
        <v>648.9207203047655</v>
      </c>
      <c r="E176" s="9">
        <f t="shared" si="15"/>
        <v>74389.911664028114</v>
      </c>
      <c r="F176" s="8">
        <f t="shared" si="16"/>
        <v>200</v>
      </c>
      <c r="G176" s="16"/>
      <c r="H176" s="39">
        <f t="shared" si="17"/>
        <v>74589.911664028114</v>
      </c>
      <c r="I176" s="4"/>
    </row>
    <row r="177" spans="2:9" ht="14.25" customHeight="1" x14ac:dyDescent="0.2">
      <c r="B177" s="48">
        <f t="shared" si="12"/>
        <v>167</v>
      </c>
      <c r="C177" s="9">
        <f t="shared" si="13"/>
        <v>74589.911664028114</v>
      </c>
      <c r="D177" s="9">
        <f t="shared" si="14"/>
        <v>656.39122264344746</v>
      </c>
      <c r="E177" s="9">
        <f t="shared" si="15"/>
        <v>75246.302886671561</v>
      </c>
      <c r="F177" s="8">
        <f t="shared" si="16"/>
        <v>200</v>
      </c>
      <c r="G177" s="16"/>
      <c r="H177" s="39">
        <f t="shared" si="17"/>
        <v>75446.302886671561</v>
      </c>
      <c r="I177" s="4"/>
    </row>
    <row r="178" spans="2:9" ht="14.25" customHeight="1" thickBot="1" x14ac:dyDescent="0.25">
      <c r="B178" s="49">
        <f t="shared" si="12"/>
        <v>168</v>
      </c>
      <c r="C178" s="40">
        <f t="shared" si="13"/>
        <v>75446.302886671561</v>
      </c>
      <c r="D178" s="40">
        <f t="shared" si="14"/>
        <v>663.9274654027098</v>
      </c>
      <c r="E178" s="40">
        <f t="shared" si="15"/>
        <v>76110.230352074272</v>
      </c>
      <c r="F178" s="41">
        <f t="shared" si="16"/>
        <v>200</v>
      </c>
      <c r="G178" s="42"/>
      <c r="H178" s="43">
        <f t="shared" si="17"/>
        <v>76310.230352074272</v>
      </c>
      <c r="I178" s="4"/>
    </row>
    <row r="179" spans="2:9" ht="14.25" customHeight="1" x14ac:dyDescent="0.2">
      <c r="B179" s="46">
        <f t="shared" si="12"/>
        <v>169</v>
      </c>
      <c r="C179" s="36">
        <f t="shared" si="13"/>
        <v>76310.230352074272</v>
      </c>
      <c r="D179" s="36">
        <f t="shared" si="14"/>
        <v>671.53002709825364</v>
      </c>
      <c r="E179" s="36">
        <f t="shared" si="15"/>
        <v>76981.760379172527</v>
      </c>
      <c r="F179" s="36">
        <f t="shared" si="16"/>
        <v>200</v>
      </c>
      <c r="G179" s="37"/>
      <c r="H179" s="38">
        <f t="shared" si="17"/>
        <v>77181.760379172527</v>
      </c>
      <c r="I179" s="4"/>
    </row>
    <row r="180" spans="2:9" ht="14.25" customHeight="1" x14ac:dyDescent="0.2">
      <c r="B180" s="47">
        <f t="shared" si="12"/>
        <v>170</v>
      </c>
      <c r="C180" s="8">
        <f t="shared" si="13"/>
        <v>77181.760379172527</v>
      </c>
      <c r="D180" s="8">
        <f t="shared" si="14"/>
        <v>679.19949133671832</v>
      </c>
      <c r="E180" s="8">
        <f t="shared" si="15"/>
        <v>77860.95987050925</v>
      </c>
      <c r="F180" s="8">
        <f t="shared" si="16"/>
        <v>200</v>
      </c>
      <c r="G180" s="16"/>
      <c r="H180" s="39">
        <f t="shared" si="17"/>
        <v>78060.95987050925</v>
      </c>
      <c r="I180" s="4"/>
    </row>
    <row r="181" spans="2:9" ht="14.25" customHeight="1" x14ac:dyDescent="0.2">
      <c r="B181" s="47">
        <f t="shared" si="12"/>
        <v>171</v>
      </c>
      <c r="C181" s="8">
        <f t="shared" si="13"/>
        <v>78060.95987050925</v>
      </c>
      <c r="D181" s="8">
        <f t="shared" si="14"/>
        <v>686.9364468604814</v>
      </c>
      <c r="E181" s="8">
        <f t="shared" si="15"/>
        <v>78747.896317369727</v>
      </c>
      <c r="F181" s="8">
        <f t="shared" si="16"/>
        <v>200</v>
      </c>
      <c r="G181" s="16"/>
      <c r="H181" s="39">
        <f t="shared" si="17"/>
        <v>78947.896317369727</v>
      </c>
      <c r="I181" s="4"/>
    </row>
    <row r="182" spans="2:9" ht="14.25" customHeight="1" x14ac:dyDescent="0.2">
      <c r="B182" s="48">
        <f t="shared" si="12"/>
        <v>172</v>
      </c>
      <c r="C182" s="9">
        <f t="shared" si="13"/>
        <v>78947.896317369727</v>
      </c>
      <c r="D182" s="9">
        <f t="shared" si="14"/>
        <v>694.74148759285367</v>
      </c>
      <c r="E182" s="9">
        <f t="shared" si="15"/>
        <v>79642.637804962578</v>
      </c>
      <c r="F182" s="8">
        <f t="shared" si="16"/>
        <v>200</v>
      </c>
      <c r="G182" s="16"/>
      <c r="H182" s="39">
        <f t="shared" si="17"/>
        <v>79842.637804962578</v>
      </c>
      <c r="I182" s="4"/>
    </row>
    <row r="183" spans="2:9" ht="14.25" customHeight="1" x14ac:dyDescent="0.2">
      <c r="B183" s="48">
        <f t="shared" si="12"/>
        <v>173</v>
      </c>
      <c r="C183" s="9">
        <f t="shared" si="13"/>
        <v>79842.637804962578</v>
      </c>
      <c r="D183" s="9">
        <f t="shared" si="14"/>
        <v>702.61521268367073</v>
      </c>
      <c r="E183" s="9">
        <f t="shared" si="15"/>
        <v>80545.253017646246</v>
      </c>
      <c r="F183" s="8">
        <f t="shared" si="16"/>
        <v>200</v>
      </c>
      <c r="G183" s="16"/>
      <c r="H183" s="39">
        <f t="shared" si="17"/>
        <v>80745.253017646246</v>
      </c>
      <c r="I183" s="4"/>
    </row>
    <row r="184" spans="2:9" ht="14.25" customHeight="1" x14ac:dyDescent="0.2">
      <c r="B184" s="48">
        <f t="shared" si="12"/>
        <v>174</v>
      </c>
      <c r="C184" s="9">
        <f t="shared" si="13"/>
        <v>80745.253017646246</v>
      </c>
      <c r="D184" s="9">
        <f t="shared" si="14"/>
        <v>710.55822655528698</v>
      </c>
      <c r="E184" s="9">
        <f t="shared" si="15"/>
        <v>81455.811244201526</v>
      </c>
      <c r="F184" s="8">
        <f t="shared" si="16"/>
        <v>200</v>
      </c>
      <c r="G184" s="16"/>
      <c r="H184" s="39">
        <f t="shared" si="17"/>
        <v>81655.811244201526</v>
      </c>
      <c r="I184" s="4"/>
    </row>
    <row r="185" spans="2:9" ht="14.25" customHeight="1" x14ac:dyDescent="0.2">
      <c r="B185" s="47">
        <f t="shared" si="12"/>
        <v>175</v>
      </c>
      <c r="C185" s="8">
        <f t="shared" si="13"/>
        <v>81655.811244201526</v>
      </c>
      <c r="D185" s="8">
        <f t="shared" si="14"/>
        <v>718.5711389489735</v>
      </c>
      <c r="E185" s="8">
        <f t="shared" si="15"/>
        <v>82374.3823831505</v>
      </c>
      <c r="F185" s="8">
        <f t="shared" si="16"/>
        <v>200</v>
      </c>
      <c r="G185" s="16"/>
      <c r="H185" s="39">
        <f t="shared" si="17"/>
        <v>82574.3823831505</v>
      </c>
      <c r="I185" s="4"/>
    </row>
    <row r="186" spans="2:9" ht="14.25" customHeight="1" x14ac:dyDescent="0.2">
      <c r="B186" s="47">
        <f t="shared" si="12"/>
        <v>176</v>
      </c>
      <c r="C186" s="8">
        <f t="shared" si="13"/>
        <v>82574.3823831505</v>
      </c>
      <c r="D186" s="8">
        <f t="shared" si="14"/>
        <v>726.65456497172443</v>
      </c>
      <c r="E186" s="8">
        <f t="shared" si="15"/>
        <v>83301.03694812223</v>
      </c>
      <c r="F186" s="8">
        <f t="shared" si="16"/>
        <v>200</v>
      </c>
      <c r="G186" s="16"/>
      <c r="H186" s="39">
        <f t="shared" si="17"/>
        <v>83501.03694812223</v>
      </c>
      <c r="I186" s="4"/>
    </row>
    <row r="187" spans="2:9" ht="14.25" customHeight="1" x14ac:dyDescent="0.2">
      <c r="B187" s="47">
        <f t="shared" ref="B187:B250" si="18">IF(AND(B186&gt;0,B186&lt;E$8),B186+1,0)</f>
        <v>177</v>
      </c>
      <c r="C187" s="8">
        <f t="shared" ref="C187:C250" si="19">IF(B187&gt;0,H186,0)</f>
        <v>83501.03694812223</v>
      </c>
      <c r="D187" s="8">
        <f t="shared" ref="D187:D250" si="20">IF(B187&gt;0,C187*$F$8,0)</f>
        <v>734.80912514347563</v>
      </c>
      <c r="E187" s="8">
        <f t="shared" ref="E187:E250" si="21">IF(B187&gt;0,C187+D187,0)</f>
        <v>84235.846073265711</v>
      </c>
      <c r="F187" s="8">
        <f t="shared" ref="F187:F250" si="22">IF(B187&gt;0,$D$8,0)</f>
        <v>200</v>
      </c>
      <c r="G187" s="16"/>
      <c r="H187" s="39">
        <f t="shared" ref="H187:H250" si="23">IF(B187&gt;0,E187+F187+G187,0)</f>
        <v>84435.846073265711</v>
      </c>
      <c r="I187" s="4"/>
    </row>
    <row r="188" spans="2:9" ht="14.25" customHeight="1" x14ac:dyDescent="0.2">
      <c r="B188" s="48">
        <f t="shared" si="18"/>
        <v>178</v>
      </c>
      <c r="C188" s="9">
        <f t="shared" si="19"/>
        <v>84435.846073265711</v>
      </c>
      <c r="D188" s="9">
        <f t="shared" si="20"/>
        <v>743.03544544473834</v>
      </c>
      <c r="E188" s="9">
        <f t="shared" si="21"/>
        <v>85178.881518710448</v>
      </c>
      <c r="F188" s="8">
        <f t="shared" si="22"/>
        <v>200</v>
      </c>
      <c r="G188" s="16"/>
      <c r="H188" s="39">
        <f t="shared" si="23"/>
        <v>85378.881518710448</v>
      </c>
      <c r="I188" s="4"/>
    </row>
    <row r="189" spans="2:9" ht="14.25" customHeight="1" x14ac:dyDescent="0.2">
      <c r="B189" s="48">
        <f t="shared" si="18"/>
        <v>179</v>
      </c>
      <c r="C189" s="9">
        <f t="shared" si="19"/>
        <v>85378.881518710448</v>
      </c>
      <c r="D189" s="9">
        <f t="shared" si="20"/>
        <v>751.33415736465201</v>
      </c>
      <c r="E189" s="9">
        <f t="shared" si="21"/>
        <v>86130.215676075095</v>
      </c>
      <c r="F189" s="8">
        <f t="shared" si="22"/>
        <v>200</v>
      </c>
      <c r="G189" s="16"/>
      <c r="H189" s="39">
        <f t="shared" si="23"/>
        <v>86330.215676075095</v>
      </c>
      <c r="I189" s="4"/>
    </row>
    <row r="190" spans="2:9" ht="14.25" customHeight="1" thickBot="1" x14ac:dyDescent="0.25">
      <c r="B190" s="49">
        <f t="shared" si="18"/>
        <v>180</v>
      </c>
      <c r="C190" s="40">
        <f t="shared" si="19"/>
        <v>86330.215676075095</v>
      </c>
      <c r="D190" s="40">
        <f t="shared" si="20"/>
        <v>759.7058979494609</v>
      </c>
      <c r="E190" s="40">
        <f t="shared" si="21"/>
        <v>87089.921574024556</v>
      </c>
      <c r="F190" s="41">
        <f t="shared" si="22"/>
        <v>200</v>
      </c>
      <c r="G190" s="42"/>
      <c r="H190" s="43">
        <f t="shared" si="23"/>
        <v>87289.921574024556</v>
      </c>
      <c r="I190" s="4"/>
    </row>
    <row r="191" spans="2:9" ht="14.25" customHeight="1" x14ac:dyDescent="0.2">
      <c r="B191" s="46">
        <f t="shared" si="18"/>
        <v>181</v>
      </c>
      <c r="C191" s="36">
        <f t="shared" si="19"/>
        <v>87289.921574024556</v>
      </c>
      <c r="D191" s="36">
        <f t="shared" si="20"/>
        <v>768.15130985141616</v>
      </c>
      <c r="E191" s="36">
        <f t="shared" si="21"/>
        <v>88058.072883875968</v>
      </c>
      <c r="F191" s="36">
        <f t="shared" si="22"/>
        <v>200</v>
      </c>
      <c r="G191" s="37"/>
      <c r="H191" s="38">
        <f t="shared" si="23"/>
        <v>88258.072883875968</v>
      </c>
      <c r="I191" s="4"/>
    </row>
    <row r="192" spans="2:9" ht="14.25" customHeight="1" x14ac:dyDescent="0.2">
      <c r="B192" s="47">
        <f t="shared" si="18"/>
        <v>182</v>
      </c>
      <c r="C192" s="8">
        <f t="shared" si="19"/>
        <v>88258.072883875968</v>
      </c>
      <c r="D192" s="8">
        <f t="shared" si="20"/>
        <v>776.67104137810861</v>
      </c>
      <c r="E192" s="8">
        <f t="shared" si="21"/>
        <v>89034.743925254079</v>
      </c>
      <c r="F192" s="8">
        <f t="shared" si="22"/>
        <v>200</v>
      </c>
      <c r="G192" s="16"/>
      <c r="H192" s="39">
        <f t="shared" si="23"/>
        <v>89234.743925254079</v>
      </c>
      <c r="I192" s="4"/>
    </row>
    <row r="193" spans="2:9" ht="14.25" customHeight="1" x14ac:dyDescent="0.2">
      <c r="B193" s="47">
        <f t="shared" si="18"/>
        <v>183</v>
      </c>
      <c r="C193" s="8">
        <f t="shared" si="19"/>
        <v>89234.743925254079</v>
      </c>
      <c r="D193" s="8">
        <f t="shared" si="20"/>
        <v>785.26574654223589</v>
      </c>
      <c r="E193" s="8">
        <f t="shared" si="21"/>
        <v>90020.009671796317</v>
      </c>
      <c r="F193" s="8">
        <f t="shared" si="22"/>
        <v>200</v>
      </c>
      <c r="G193" s="16"/>
      <c r="H193" s="39">
        <f t="shared" si="23"/>
        <v>90220.009671796317</v>
      </c>
      <c r="I193" s="4"/>
    </row>
    <row r="194" spans="2:9" ht="14.25" customHeight="1" x14ac:dyDescent="0.2">
      <c r="B194" s="48">
        <f t="shared" si="18"/>
        <v>184</v>
      </c>
      <c r="C194" s="9">
        <f t="shared" si="19"/>
        <v>90220.009671796317</v>
      </c>
      <c r="D194" s="9">
        <f t="shared" si="20"/>
        <v>793.93608511180764</v>
      </c>
      <c r="E194" s="9">
        <f t="shared" si="21"/>
        <v>91013.945756908128</v>
      </c>
      <c r="F194" s="8">
        <f t="shared" si="22"/>
        <v>200</v>
      </c>
      <c r="G194" s="16"/>
      <c r="H194" s="39">
        <f t="shared" si="23"/>
        <v>91213.945756908128</v>
      </c>
      <c r="I194" s="4"/>
    </row>
    <row r="195" spans="2:9" ht="14.25" customHeight="1" x14ac:dyDescent="0.2">
      <c r="B195" s="48">
        <f t="shared" si="18"/>
        <v>185</v>
      </c>
      <c r="C195" s="9">
        <f t="shared" si="19"/>
        <v>91213.945756908128</v>
      </c>
      <c r="D195" s="9">
        <f t="shared" si="20"/>
        <v>802.68272266079157</v>
      </c>
      <c r="E195" s="9">
        <f t="shared" si="21"/>
        <v>92016.628479568913</v>
      </c>
      <c r="F195" s="8">
        <f t="shared" si="22"/>
        <v>200</v>
      </c>
      <c r="G195" s="16"/>
      <c r="H195" s="39">
        <f t="shared" si="23"/>
        <v>92216.628479568913</v>
      </c>
      <c r="I195" s="4"/>
    </row>
    <row r="196" spans="2:9" ht="14.25" customHeight="1" x14ac:dyDescent="0.2">
      <c r="B196" s="48">
        <f t="shared" si="18"/>
        <v>186</v>
      </c>
      <c r="C196" s="9">
        <f t="shared" si="19"/>
        <v>92216.628479568913</v>
      </c>
      <c r="D196" s="9">
        <f t="shared" si="20"/>
        <v>811.50633062020654</v>
      </c>
      <c r="E196" s="9">
        <f t="shared" si="21"/>
        <v>93028.13481018912</v>
      </c>
      <c r="F196" s="8">
        <f t="shared" si="22"/>
        <v>200</v>
      </c>
      <c r="G196" s="16"/>
      <c r="H196" s="39">
        <f t="shared" si="23"/>
        <v>93228.13481018912</v>
      </c>
      <c r="I196" s="4"/>
    </row>
    <row r="197" spans="2:9" ht="14.25" customHeight="1" x14ac:dyDescent="0.2">
      <c r="B197" s="47">
        <f t="shared" si="18"/>
        <v>187</v>
      </c>
      <c r="C197" s="8">
        <f t="shared" si="19"/>
        <v>93228.13481018912</v>
      </c>
      <c r="D197" s="8">
        <f t="shared" si="20"/>
        <v>820.40758632966435</v>
      </c>
      <c r="E197" s="8">
        <f t="shared" si="21"/>
        <v>94048.54239651878</v>
      </c>
      <c r="F197" s="8">
        <f t="shared" si="22"/>
        <v>200</v>
      </c>
      <c r="G197" s="16"/>
      <c r="H197" s="39">
        <f t="shared" si="23"/>
        <v>94248.54239651878</v>
      </c>
      <c r="I197" s="4"/>
    </row>
    <row r="198" spans="2:9" ht="14.25" customHeight="1" x14ac:dyDescent="0.2">
      <c r="B198" s="47">
        <f t="shared" si="18"/>
        <v>188</v>
      </c>
      <c r="C198" s="8">
        <f t="shared" si="19"/>
        <v>94248.54239651878</v>
      </c>
      <c r="D198" s="8">
        <f t="shared" si="20"/>
        <v>829.38717308936532</v>
      </c>
      <c r="E198" s="8">
        <f t="shared" si="21"/>
        <v>95077.929569608139</v>
      </c>
      <c r="F198" s="8">
        <f t="shared" si="22"/>
        <v>200</v>
      </c>
      <c r="G198" s="16"/>
      <c r="H198" s="39">
        <f t="shared" si="23"/>
        <v>95277.929569608139</v>
      </c>
      <c r="I198" s="4"/>
    </row>
    <row r="199" spans="2:9" ht="14.25" customHeight="1" x14ac:dyDescent="0.2">
      <c r="B199" s="47">
        <f t="shared" si="18"/>
        <v>189</v>
      </c>
      <c r="C199" s="8">
        <f t="shared" si="19"/>
        <v>95277.929569608139</v>
      </c>
      <c r="D199" s="8">
        <f t="shared" si="20"/>
        <v>838.44578021255165</v>
      </c>
      <c r="E199" s="8">
        <f t="shared" si="21"/>
        <v>96116.375349820693</v>
      </c>
      <c r="F199" s="8">
        <f t="shared" si="22"/>
        <v>200</v>
      </c>
      <c r="G199" s="16"/>
      <c r="H199" s="39">
        <f t="shared" si="23"/>
        <v>96316.375349820693</v>
      </c>
      <c r="I199" s="4"/>
    </row>
    <row r="200" spans="2:9" ht="14.25" customHeight="1" x14ac:dyDescent="0.2">
      <c r="B200" s="48">
        <f t="shared" si="18"/>
        <v>190</v>
      </c>
      <c r="C200" s="9">
        <f t="shared" si="19"/>
        <v>96316.375349820693</v>
      </c>
      <c r="D200" s="9">
        <f t="shared" si="20"/>
        <v>847.58410307842212</v>
      </c>
      <c r="E200" s="9">
        <f t="shared" si="21"/>
        <v>97163.959452899115</v>
      </c>
      <c r="F200" s="8">
        <f t="shared" si="22"/>
        <v>200</v>
      </c>
      <c r="G200" s="16"/>
      <c r="H200" s="39">
        <f t="shared" si="23"/>
        <v>97363.959452899115</v>
      </c>
      <c r="I200" s="4"/>
    </row>
    <row r="201" spans="2:9" ht="14.25" customHeight="1" x14ac:dyDescent="0.2">
      <c r="B201" s="48">
        <f t="shared" si="18"/>
        <v>191</v>
      </c>
      <c r="C201" s="9">
        <f t="shared" si="19"/>
        <v>97363.959452899115</v>
      </c>
      <c r="D201" s="9">
        <f t="shared" si="20"/>
        <v>856.8028431855123</v>
      </c>
      <c r="E201" s="9">
        <f t="shared" si="21"/>
        <v>98220.76229608462</v>
      </c>
      <c r="F201" s="8">
        <f t="shared" si="22"/>
        <v>200</v>
      </c>
      <c r="G201" s="16"/>
      <c r="H201" s="39">
        <f t="shared" si="23"/>
        <v>98420.76229608462</v>
      </c>
      <c r="I201" s="4"/>
    </row>
    <row r="202" spans="2:9" ht="14.25" customHeight="1" thickBot="1" x14ac:dyDescent="0.25">
      <c r="B202" s="49">
        <f t="shared" si="18"/>
        <v>192</v>
      </c>
      <c r="C202" s="40">
        <f t="shared" si="19"/>
        <v>98420.76229608462</v>
      </c>
      <c r="D202" s="40">
        <f t="shared" si="20"/>
        <v>866.10270820554467</v>
      </c>
      <c r="E202" s="40">
        <f t="shared" si="21"/>
        <v>99286.865004290172</v>
      </c>
      <c r="F202" s="41">
        <f t="shared" si="22"/>
        <v>200</v>
      </c>
      <c r="G202" s="42"/>
      <c r="H202" s="43">
        <f t="shared" si="23"/>
        <v>99486.865004290172</v>
      </c>
      <c r="I202" s="4"/>
    </row>
    <row r="203" spans="2:9" ht="14.25" customHeight="1" x14ac:dyDescent="0.2">
      <c r="B203" s="46">
        <f t="shared" si="18"/>
        <v>193</v>
      </c>
      <c r="C203" s="36">
        <f t="shared" si="19"/>
        <v>99486.865004290172</v>
      </c>
      <c r="D203" s="36">
        <f t="shared" si="20"/>
        <v>875.4844120377536</v>
      </c>
      <c r="E203" s="36">
        <f t="shared" si="21"/>
        <v>100362.34941632792</v>
      </c>
      <c r="F203" s="36">
        <f t="shared" si="22"/>
        <v>200</v>
      </c>
      <c r="G203" s="37"/>
      <c r="H203" s="38">
        <f t="shared" si="23"/>
        <v>100562.34941632792</v>
      </c>
      <c r="I203" s="4"/>
    </row>
    <row r="204" spans="2:9" ht="14.25" customHeight="1" x14ac:dyDescent="0.2">
      <c r="B204" s="47">
        <f t="shared" si="18"/>
        <v>194</v>
      </c>
      <c r="C204" s="8">
        <f t="shared" si="19"/>
        <v>100562.34941632792</v>
      </c>
      <c r="D204" s="8">
        <f t="shared" si="20"/>
        <v>884.94867486368582</v>
      </c>
      <c r="E204" s="8">
        <f t="shared" si="21"/>
        <v>101447.29809119161</v>
      </c>
      <c r="F204" s="8">
        <f t="shared" si="22"/>
        <v>200</v>
      </c>
      <c r="G204" s="16"/>
      <c r="H204" s="39">
        <f t="shared" si="23"/>
        <v>101647.29809119161</v>
      </c>
      <c r="I204" s="4"/>
    </row>
    <row r="205" spans="2:9" ht="14.25" customHeight="1" x14ac:dyDescent="0.2">
      <c r="B205" s="47">
        <f t="shared" si="18"/>
        <v>195</v>
      </c>
      <c r="C205" s="8">
        <f t="shared" si="19"/>
        <v>101647.29809119161</v>
      </c>
      <c r="D205" s="8">
        <f t="shared" si="20"/>
        <v>894.49622320248625</v>
      </c>
      <c r="E205" s="8">
        <f t="shared" si="21"/>
        <v>102541.79431439409</v>
      </c>
      <c r="F205" s="8">
        <f t="shared" si="22"/>
        <v>200</v>
      </c>
      <c r="G205" s="16"/>
      <c r="H205" s="39">
        <f t="shared" si="23"/>
        <v>102741.79431439409</v>
      </c>
      <c r="I205" s="4"/>
    </row>
    <row r="206" spans="2:9" ht="14.25" customHeight="1" x14ac:dyDescent="0.2">
      <c r="B206" s="48">
        <f t="shared" si="18"/>
        <v>196</v>
      </c>
      <c r="C206" s="9">
        <f t="shared" si="19"/>
        <v>102741.79431439409</v>
      </c>
      <c r="D206" s="9">
        <f t="shared" si="20"/>
        <v>904.12778996666805</v>
      </c>
      <c r="E206" s="9">
        <f t="shared" si="21"/>
        <v>103645.92210436077</v>
      </c>
      <c r="F206" s="8">
        <f t="shared" si="22"/>
        <v>200</v>
      </c>
      <c r="G206" s="16"/>
      <c r="H206" s="39">
        <f t="shared" si="23"/>
        <v>103845.92210436077</v>
      </c>
      <c r="I206" s="4"/>
    </row>
    <row r="207" spans="2:9" ht="14.25" customHeight="1" x14ac:dyDescent="0.2">
      <c r="B207" s="48">
        <f t="shared" si="18"/>
        <v>197</v>
      </c>
      <c r="C207" s="9">
        <f t="shared" si="19"/>
        <v>103845.92210436077</v>
      </c>
      <c r="D207" s="9">
        <f t="shared" si="20"/>
        <v>913.84411451837479</v>
      </c>
      <c r="E207" s="9">
        <f t="shared" si="21"/>
        <v>104759.76621887914</v>
      </c>
      <c r="F207" s="8">
        <f t="shared" si="22"/>
        <v>200</v>
      </c>
      <c r="G207" s="16"/>
      <c r="H207" s="39">
        <f t="shared" si="23"/>
        <v>104959.76621887914</v>
      </c>
      <c r="I207" s="4"/>
    </row>
    <row r="208" spans="2:9" ht="14.25" customHeight="1" x14ac:dyDescent="0.2">
      <c r="B208" s="48">
        <f t="shared" si="18"/>
        <v>198</v>
      </c>
      <c r="C208" s="9">
        <f t="shared" si="19"/>
        <v>104959.76621887914</v>
      </c>
      <c r="D208" s="9">
        <f t="shared" si="20"/>
        <v>923.64594272613647</v>
      </c>
      <c r="E208" s="9">
        <f t="shared" si="21"/>
        <v>105883.41216160529</v>
      </c>
      <c r="F208" s="8">
        <f t="shared" si="22"/>
        <v>200</v>
      </c>
      <c r="G208" s="16"/>
      <c r="H208" s="39">
        <f t="shared" si="23"/>
        <v>106083.41216160529</v>
      </c>
      <c r="I208" s="4"/>
    </row>
    <row r="209" spans="2:9" ht="14.25" customHeight="1" x14ac:dyDescent="0.2">
      <c r="B209" s="47">
        <f t="shared" si="18"/>
        <v>199</v>
      </c>
      <c r="C209" s="8">
        <f t="shared" si="19"/>
        <v>106083.41216160529</v>
      </c>
      <c r="D209" s="8">
        <f t="shared" si="20"/>
        <v>933.53402702212657</v>
      </c>
      <c r="E209" s="8">
        <f t="shared" si="21"/>
        <v>107016.94618862741</v>
      </c>
      <c r="F209" s="8">
        <f t="shared" si="22"/>
        <v>200</v>
      </c>
      <c r="G209" s="16"/>
      <c r="H209" s="39">
        <f t="shared" si="23"/>
        <v>107216.94618862741</v>
      </c>
      <c r="I209" s="4"/>
    </row>
    <row r="210" spans="2:9" ht="14.25" customHeight="1" x14ac:dyDescent="0.2">
      <c r="B210" s="47">
        <f t="shared" si="18"/>
        <v>200</v>
      </c>
      <c r="C210" s="8">
        <f t="shared" si="19"/>
        <v>107216.94618862741</v>
      </c>
      <c r="D210" s="8">
        <f t="shared" si="20"/>
        <v>943.50912645992128</v>
      </c>
      <c r="E210" s="8">
        <f t="shared" si="21"/>
        <v>108160.45531508733</v>
      </c>
      <c r="F210" s="8">
        <f t="shared" si="22"/>
        <v>200</v>
      </c>
      <c r="G210" s="16"/>
      <c r="H210" s="39">
        <f t="shared" si="23"/>
        <v>108360.45531508733</v>
      </c>
      <c r="I210" s="4"/>
    </row>
    <row r="211" spans="2:9" ht="14.25" customHeight="1" x14ac:dyDescent="0.2">
      <c r="B211" s="47">
        <f t="shared" si="18"/>
        <v>201</v>
      </c>
      <c r="C211" s="8">
        <f t="shared" si="19"/>
        <v>108360.45531508733</v>
      </c>
      <c r="D211" s="8">
        <f t="shared" si="20"/>
        <v>953.57200677276853</v>
      </c>
      <c r="E211" s="8">
        <f t="shared" si="21"/>
        <v>109314.02732186009</v>
      </c>
      <c r="F211" s="8">
        <f t="shared" si="22"/>
        <v>200</v>
      </c>
      <c r="G211" s="16"/>
      <c r="H211" s="39">
        <f t="shared" si="23"/>
        <v>109514.02732186009</v>
      </c>
      <c r="I211" s="4"/>
    </row>
    <row r="212" spans="2:9" ht="14.25" customHeight="1" x14ac:dyDescent="0.2">
      <c r="B212" s="48">
        <f t="shared" si="18"/>
        <v>202</v>
      </c>
      <c r="C212" s="9">
        <f t="shared" si="19"/>
        <v>109514.02732186009</v>
      </c>
      <c r="D212" s="9">
        <f t="shared" si="20"/>
        <v>963.72344043236888</v>
      </c>
      <c r="E212" s="9">
        <f t="shared" si="21"/>
        <v>110477.75076229246</v>
      </c>
      <c r="F212" s="8">
        <f t="shared" si="22"/>
        <v>200</v>
      </c>
      <c r="G212" s="16"/>
      <c r="H212" s="39">
        <f t="shared" si="23"/>
        <v>110677.75076229246</v>
      </c>
      <c r="I212" s="4"/>
    </row>
    <row r="213" spans="2:9" ht="14.25" customHeight="1" x14ac:dyDescent="0.2">
      <c r="B213" s="48">
        <f t="shared" si="18"/>
        <v>203</v>
      </c>
      <c r="C213" s="9">
        <f t="shared" si="19"/>
        <v>110677.75076229246</v>
      </c>
      <c r="D213" s="9">
        <f t="shared" si="20"/>
        <v>973.96420670817372</v>
      </c>
      <c r="E213" s="9">
        <f t="shared" si="21"/>
        <v>111651.71496900063</v>
      </c>
      <c r="F213" s="8">
        <f t="shared" si="22"/>
        <v>200</v>
      </c>
      <c r="G213" s="16"/>
      <c r="H213" s="39">
        <f t="shared" si="23"/>
        <v>111851.71496900063</v>
      </c>
      <c r="I213" s="4"/>
    </row>
    <row r="214" spans="2:9" ht="14.25" customHeight="1" thickBot="1" x14ac:dyDescent="0.25">
      <c r="B214" s="49">
        <f t="shared" si="18"/>
        <v>204</v>
      </c>
      <c r="C214" s="40">
        <f t="shared" si="19"/>
        <v>111851.71496900063</v>
      </c>
      <c r="D214" s="40">
        <f t="shared" si="20"/>
        <v>984.29509172720566</v>
      </c>
      <c r="E214" s="40">
        <f t="shared" si="21"/>
        <v>112836.01006072784</v>
      </c>
      <c r="F214" s="41">
        <f t="shared" si="22"/>
        <v>200</v>
      </c>
      <c r="G214" s="42"/>
      <c r="H214" s="43">
        <f t="shared" si="23"/>
        <v>113036.01006072784</v>
      </c>
      <c r="I214" s="4"/>
    </row>
    <row r="215" spans="2:9" ht="14.25" customHeight="1" x14ac:dyDescent="0.2">
      <c r="B215" s="46">
        <f t="shared" si="18"/>
        <v>205</v>
      </c>
      <c r="C215" s="36">
        <f t="shared" si="19"/>
        <v>113036.01006072784</v>
      </c>
      <c r="D215" s="36">
        <f t="shared" si="20"/>
        <v>994.71688853440503</v>
      </c>
      <c r="E215" s="36">
        <f t="shared" si="21"/>
        <v>114030.72694926224</v>
      </c>
      <c r="F215" s="36">
        <f t="shared" si="22"/>
        <v>200</v>
      </c>
      <c r="G215" s="37"/>
      <c r="H215" s="38">
        <f t="shared" si="23"/>
        <v>114230.72694926224</v>
      </c>
      <c r="I215" s="4"/>
    </row>
    <row r="216" spans="2:9" ht="14.25" customHeight="1" x14ac:dyDescent="0.2">
      <c r="B216" s="47">
        <f t="shared" si="18"/>
        <v>206</v>
      </c>
      <c r="C216" s="8">
        <f t="shared" si="19"/>
        <v>114230.72694926224</v>
      </c>
      <c r="D216" s="8">
        <f t="shared" si="20"/>
        <v>1005.2303971535079</v>
      </c>
      <c r="E216" s="8">
        <f t="shared" si="21"/>
        <v>115235.95734641576</v>
      </c>
      <c r="F216" s="8">
        <f t="shared" si="22"/>
        <v>200</v>
      </c>
      <c r="G216" s="16"/>
      <c r="H216" s="39">
        <f t="shared" si="23"/>
        <v>115435.95734641576</v>
      </c>
      <c r="I216" s="4"/>
    </row>
    <row r="217" spans="2:9" ht="14.25" customHeight="1" x14ac:dyDescent="0.2">
      <c r="B217" s="47">
        <f t="shared" si="18"/>
        <v>207</v>
      </c>
      <c r="C217" s="8">
        <f t="shared" si="19"/>
        <v>115435.95734641576</v>
      </c>
      <c r="D217" s="8">
        <f t="shared" si="20"/>
        <v>1015.8364246484588</v>
      </c>
      <c r="E217" s="8">
        <f t="shared" si="21"/>
        <v>116451.79377106421</v>
      </c>
      <c r="F217" s="8">
        <f t="shared" si="22"/>
        <v>200</v>
      </c>
      <c r="G217" s="16"/>
      <c r="H217" s="39">
        <f t="shared" si="23"/>
        <v>116651.79377106421</v>
      </c>
      <c r="I217" s="4"/>
    </row>
    <row r="218" spans="2:9" ht="14.25" customHeight="1" x14ac:dyDescent="0.2">
      <c r="B218" s="48">
        <f t="shared" si="18"/>
        <v>208</v>
      </c>
      <c r="C218" s="9">
        <f t="shared" si="19"/>
        <v>116651.79377106421</v>
      </c>
      <c r="D218" s="9">
        <f t="shared" si="20"/>
        <v>1026.5357851853651</v>
      </c>
      <c r="E218" s="9">
        <f t="shared" si="21"/>
        <v>117678.32955624958</v>
      </c>
      <c r="F218" s="8">
        <f t="shared" si="22"/>
        <v>200</v>
      </c>
      <c r="G218" s="16"/>
      <c r="H218" s="39">
        <f t="shared" si="23"/>
        <v>117878.32955624958</v>
      </c>
      <c r="I218" s="4"/>
    </row>
    <row r="219" spans="2:9" ht="14.25" customHeight="1" x14ac:dyDescent="0.2">
      <c r="B219" s="48">
        <f t="shared" si="18"/>
        <v>209</v>
      </c>
      <c r="C219" s="9">
        <f t="shared" si="19"/>
        <v>117878.32955624958</v>
      </c>
      <c r="D219" s="9">
        <f t="shared" si="20"/>
        <v>1037.3293000949964</v>
      </c>
      <c r="E219" s="9">
        <f t="shared" si="21"/>
        <v>118915.65885634457</v>
      </c>
      <c r="F219" s="8">
        <f t="shared" si="22"/>
        <v>200</v>
      </c>
      <c r="G219" s="16"/>
      <c r="H219" s="39">
        <f t="shared" si="23"/>
        <v>119115.65885634457</v>
      </c>
      <c r="I219" s="4"/>
    </row>
    <row r="220" spans="2:9" ht="14.25" customHeight="1" x14ac:dyDescent="0.2">
      <c r="B220" s="48">
        <f t="shared" si="18"/>
        <v>210</v>
      </c>
      <c r="C220" s="9">
        <f t="shared" si="19"/>
        <v>119115.65885634457</v>
      </c>
      <c r="D220" s="9">
        <f t="shared" si="20"/>
        <v>1048.2177979358323</v>
      </c>
      <c r="E220" s="9">
        <f t="shared" si="21"/>
        <v>120163.87665428041</v>
      </c>
      <c r="F220" s="8">
        <f t="shared" si="22"/>
        <v>200</v>
      </c>
      <c r="G220" s="16"/>
      <c r="H220" s="39">
        <f t="shared" si="23"/>
        <v>120363.87665428041</v>
      </c>
      <c r="I220" s="4"/>
    </row>
    <row r="221" spans="2:9" ht="14.25" customHeight="1" x14ac:dyDescent="0.2">
      <c r="B221" s="47">
        <f t="shared" si="18"/>
        <v>211</v>
      </c>
      <c r="C221" s="8">
        <f t="shared" si="19"/>
        <v>120363.87665428041</v>
      </c>
      <c r="D221" s="8">
        <f t="shared" si="20"/>
        <v>1059.2021145576678</v>
      </c>
      <c r="E221" s="8">
        <f t="shared" si="21"/>
        <v>121423.07876883808</v>
      </c>
      <c r="F221" s="8">
        <f t="shared" si="22"/>
        <v>200</v>
      </c>
      <c r="G221" s="16"/>
      <c r="H221" s="39">
        <f t="shared" si="23"/>
        <v>121623.07876883808</v>
      </c>
      <c r="I221" s="4"/>
    </row>
    <row r="222" spans="2:9" ht="14.25" customHeight="1" x14ac:dyDescent="0.2">
      <c r="B222" s="47">
        <f t="shared" si="18"/>
        <v>212</v>
      </c>
      <c r="C222" s="8">
        <f t="shared" si="19"/>
        <v>121623.07876883808</v>
      </c>
      <c r="D222" s="8">
        <f t="shared" si="20"/>
        <v>1070.2830931657752</v>
      </c>
      <c r="E222" s="8">
        <f t="shared" si="21"/>
        <v>122693.36186200386</v>
      </c>
      <c r="F222" s="8">
        <f t="shared" si="22"/>
        <v>200</v>
      </c>
      <c r="G222" s="16"/>
      <c r="H222" s="39">
        <f t="shared" si="23"/>
        <v>122893.36186200386</v>
      </c>
      <c r="I222" s="4"/>
    </row>
    <row r="223" spans="2:9" ht="14.25" customHeight="1" x14ac:dyDescent="0.2">
      <c r="B223" s="47">
        <f t="shared" si="18"/>
        <v>213</v>
      </c>
      <c r="C223" s="8">
        <f t="shared" si="19"/>
        <v>122893.36186200386</v>
      </c>
      <c r="D223" s="8">
        <f t="shared" si="20"/>
        <v>1081.4615843856341</v>
      </c>
      <c r="E223" s="8">
        <f t="shared" si="21"/>
        <v>123974.82344638949</v>
      </c>
      <c r="F223" s="8">
        <f t="shared" si="22"/>
        <v>200</v>
      </c>
      <c r="G223" s="16"/>
      <c r="H223" s="39">
        <f t="shared" si="23"/>
        <v>124174.82344638949</v>
      </c>
      <c r="I223" s="4"/>
    </row>
    <row r="224" spans="2:9" ht="14.25" customHeight="1" x14ac:dyDescent="0.2">
      <c r="B224" s="48">
        <f t="shared" si="18"/>
        <v>214</v>
      </c>
      <c r="C224" s="9">
        <f t="shared" si="19"/>
        <v>124174.82344638949</v>
      </c>
      <c r="D224" s="9">
        <f t="shared" si="20"/>
        <v>1092.7384463282276</v>
      </c>
      <c r="E224" s="9">
        <f t="shared" si="21"/>
        <v>125267.56189271771</v>
      </c>
      <c r="F224" s="8">
        <f t="shared" si="22"/>
        <v>200</v>
      </c>
      <c r="G224" s="16"/>
      <c r="H224" s="39">
        <f t="shared" si="23"/>
        <v>125467.56189271771</v>
      </c>
      <c r="I224" s="4"/>
    </row>
    <row r="225" spans="2:9" ht="14.25" customHeight="1" x14ac:dyDescent="0.2">
      <c r="B225" s="48">
        <f t="shared" si="18"/>
        <v>215</v>
      </c>
      <c r="C225" s="9">
        <f t="shared" si="19"/>
        <v>125467.56189271771</v>
      </c>
      <c r="D225" s="9">
        <f t="shared" si="20"/>
        <v>1104.114544655916</v>
      </c>
      <c r="E225" s="9">
        <f t="shared" si="21"/>
        <v>126571.67643737362</v>
      </c>
      <c r="F225" s="8">
        <f t="shared" si="22"/>
        <v>200</v>
      </c>
      <c r="G225" s="16"/>
      <c r="H225" s="39">
        <f t="shared" si="23"/>
        <v>126771.67643737362</v>
      </c>
      <c r="I225" s="4"/>
    </row>
    <row r="226" spans="2:9" ht="14.25" customHeight="1" thickBot="1" x14ac:dyDescent="0.25">
      <c r="B226" s="49">
        <f t="shared" si="18"/>
        <v>216</v>
      </c>
      <c r="C226" s="40">
        <f t="shared" si="19"/>
        <v>126771.67643737362</v>
      </c>
      <c r="D226" s="40">
        <f t="shared" si="20"/>
        <v>1115.5907526488879</v>
      </c>
      <c r="E226" s="40">
        <f t="shared" si="21"/>
        <v>127887.26719002251</v>
      </c>
      <c r="F226" s="41">
        <f t="shared" si="22"/>
        <v>200</v>
      </c>
      <c r="G226" s="42"/>
      <c r="H226" s="43">
        <f t="shared" si="23"/>
        <v>128087.26719002251</v>
      </c>
      <c r="I226" s="4"/>
    </row>
    <row r="227" spans="2:9" ht="14.25" customHeight="1" x14ac:dyDescent="0.2">
      <c r="B227" s="46">
        <f t="shared" si="18"/>
        <v>217</v>
      </c>
      <c r="C227" s="36">
        <f t="shared" si="19"/>
        <v>128087.26719002251</v>
      </c>
      <c r="D227" s="36">
        <f t="shared" si="20"/>
        <v>1127.1679512721983</v>
      </c>
      <c r="E227" s="36">
        <f t="shared" si="21"/>
        <v>129214.43514129471</v>
      </c>
      <c r="F227" s="36">
        <f t="shared" si="22"/>
        <v>200</v>
      </c>
      <c r="G227" s="37"/>
      <c r="H227" s="38">
        <f t="shared" si="23"/>
        <v>129414.43514129471</v>
      </c>
      <c r="I227" s="4"/>
    </row>
    <row r="228" spans="2:9" ht="14.25" customHeight="1" x14ac:dyDescent="0.2">
      <c r="B228" s="47">
        <f t="shared" si="18"/>
        <v>218</v>
      </c>
      <c r="C228" s="8">
        <f t="shared" si="19"/>
        <v>129414.43514129471</v>
      </c>
      <c r="D228" s="8">
        <f t="shared" si="20"/>
        <v>1138.8470292433935</v>
      </c>
      <c r="E228" s="8">
        <f t="shared" si="21"/>
        <v>130553.28217053811</v>
      </c>
      <c r="F228" s="8">
        <f t="shared" si="22"/>
        <v>200</v>
      </c>
      <c r="G228" s="16"/>
      <c r="H228" s="39">
        <f t="shared" si="23"/>
        <v>130753.28217053811</v>
      </c>
      <c r="I228" s="4"/>
    </row>
    <row r="229" spans="2:9" ht="14.25" customHeight="1" x14ac:dyDescent="0.2">
      <c r="B229" s="47">
        <f t="shared" si="18"/>
        <v>219</v>
      </c>
      <c r="C229" s="8">
        <f t="shared" si="19"/>
        <v>130753.28217053811</v>
      </c>
      <c r="D229" s="8">
        <f t="shared" si="20"/>
        <v>1150.6288831007355</v>
      </c>
      <c r="E229" s="8">
        <f t="shared" si="21"/>
        <v>131903.91105363885</v>
      </c>
      <c r="F229" s="8">
        <f t="shared" si="22"/>
        <v>200</v>
      </c>
      <c r="G229" s="16"/>
      <c r="H229" s="39">
        <f t="shared" si="23"/>
        <v>132103.91105363885</v>
      </c>
      <c r="I229" s="4"/>
    </row>
    <row r="230" spans="2:9" ht="14.25" customHeight="1" x14ac:dyDescent="0.2">
      <c r="B230" s="48">
        <f t="shared" si="18"/>
        <v>220</v>
      </c>
      <c r="C230" s="9">
        <f t="shared" si="19"/>
        <v>132103.91105363885</v>
      </c>
      <c r="D230" s="9">
        <f t="shared" si="20"/>
        <v>1162.514417272022</v>
      </c>
      <c r="E230" s="9">
        <f t="shared" si="21"/>
        <v>133266.42547091088</v>
      </c>
      <c r="F230" s="8">
        <f t="shared" si="22"/>
        <v>200</v>
      </c>
      <c r="G230" s="16"/>
      <c r="H230" s="39">
        <f t="shared" si="23"/>
        <v>133466.42547091088</v>
      </c>
      <c r="I230" s="4"/>
    </row>
    <row r="231" spans="2:9" ht="14.25" customHeight="1" x14ac:dyDescent="0.2">
      <c r="B231" s="48">
        <f t="shared" si="18"/>
        <v>221</v>
      </c>
      <c r="C231" s="9">
        <f t="shared" si="19"/>
        <v>133466.42547091088</v>
      </c>
      <c r="D231" s="9">
        <f t="shared" si="20"/>
        <v>1174.5045441440159</v>
      </c>
      <c r="E231" s="9">
        <f t="shared" si="21"/>
        <v>134640.93001505488</v>
      </c>
      <c r="F231" s="8">
        <f t="shared" si="22"/>
        <v>200</v>
      </c>
      <c r="G231" s="16"/>
      <c r="H231" s="39">
        <f t="shared" si="23"/>
        <v>134840.93001505488</v>
      </c>
      <c r="I231" s="4"/>
    </row>
    <row r="232" spans="2:9" ht="14.25" customHeight="1" x14ac:dyDescent="0.2">
      <c r="B232" s="48">
        <f t="shared" si="18"/>
        <v>222</v>
      </c>
      <c r="C232" s="9">
        <f t="shared" si="19"/>
        <v>134840.93001505488</v>
      </c>
      <c r="D232" s="9">
        <f t="shared" si="20"/>
        <v>1186.600184132483</v>
      </c>
      <c r="E232" s="9">
        <f t="shared" si="21"/>
        <v>136027.53019918737</v>
      </c>
      <c r="F232" s="8">
        <f t="shared" si="22"/>
        <v>200</v>
      </c>
      <c r="G232" s="16"/>
      <c r="H232" s="39">
        <f t="shared" si="23"/>
        <v>136227.53019918737</v>
      </c>
      <c r="I232" s="4"/>
    </row>
    <row r="233" spans="2:9" ht="14.25" customHeight="1" x14ac:dyDescent="0.2">
      <c r="B233" s="47">
        <f t="shared" si="18"/>
        <v>223</v>
      </c>
      <c r="C233" s="8">
        <f t="shared" si="19"/>
        <v>136227.53019918737</v>
      </c>
      <c r="D233" s="8">
        <f t="shared" si="20"/>
        <v>1198.8022657528488</v>
      </c>
      <c r="E233" s="8">
        <f t="shared" si="21"/>
        <v>137426.33246494021</v>
      </c>
      <c r="F233" s="8">
        <f t="shared" si="22"/>
        <v>200</v>
      </c>
      <c r="G233" s="16"/>
      <c r="H233" s="39">
        <f t="shared" si="23"/>
        <v>137626.33246494021</v>
      </c>
      <c r="I233" s="4"/>
    </row>
    <row r="234" spans="2:9" ht="14.25" customHeight="1" x14ac:dyDescent="0.2">
      <c r="B234" s="47">
        <f t="shared" si="18"/>
        <v>224</v>
      </c>
      <c r="C234" s="8">
        <f t="shared" si="19"/>
        <v>137626.33246494021</v>
      </c>
      <c r="D234" s="8">
        <f t="shared" si="20"/>
        <v>1211.1117256914738</v>
      </c>
      <c r="E234" s="8">
        <f t="shared" si="21"/>
        <v>138837.44419063168</v>
      </c>
      <c r="F234" s="8">
        <f t="shared" si="22"/>
        <v>200</v>
      </c>
      <c r="G234" s="16"/>
      <c r="H234" s="39">
        <f t="shared" si="23"/>
        <v>139037.44419063168</v>
      </c>
      <c r="I234" s="4"/>
    </row>
    <row r="235" spans="2:9" ht="14.25" customHeight="1" x14ac:dyDescent="0.2">
      <c r="B235" s="47">
        <f t="shared" si="18"/>
        <v>225</v>
      </c>
      <c r="C235" s="8">
        <f t="shared" si="19"/>
        <v>139037.44419063168</v>
      </c>
      <c r="D235" s="8">
        <f t="shared" si="20"/>
        <v>1223.5295088775588</v>
      </c>
      <c r="E235" s="8">
        <f t="shared" si="21"/>
        <v>140260.97369950922</v>
      </c>
      <c r="F235" s="8">
        <f t="shared" si="22"/>
        <v>200</v>
      </c>
      <c r="G235" s="16"/>
      <c r="H235" s="39">
        <f t="shared" si="23"/>
        <v>140460.97369950922</v>
      </c>
      <c r="I235" s="4"/>
    </row>
    <row r="236" spans="2:9" ht="14.25" customHeight="1" x14ac:dyDescent="0.2">
      <c r="B236" s="48">
        <f t="shared" si="18"/>
        <v>226</v>
      </c>
      <c r="C236" s="9">
        <f t="shared" si="19"/>
        <v>140460.97369950922</v>
      </c>
      <c r="D236" s="9">
        <f t="shared" si="20"/>
        <v>1236.0565685556812</v>
      </c>
      <c r="E236" s="9">
        <f t="shared" si="21"/>
        <v>141697.0302680649</v>
      </c>
      <c r="F236" s="8">
        <f t="shared" si="22"/>
        <v>200</v>
      </c>
      <c r="G236" s="16"/>
      <c r="H236" s="39">
        <f t="shared" si="23"/>
        <v>141897.0302680649</v>
      </c>
      <c r="I236" s="4"/>
    </row>
    <row r="237" spans="2:9" ht="14.25" customHeight="1" x14ac:dyDescent="0.2">
      <c r="B237" s="48">
        <f t="shared" si="18"/>
        <v>227</v>
      </c>
      <c r="C237" s="9">
        <f t="shared" si="19"/>
        <v>141897.0302680649</v>
      </c>
      <c r="D237" s="9">
        <f t="shared" si="20"/>
        <v>1248.6938663589713</v>
      </c>
      <c r="E237" s="9">
        <f t="shared" si="21"/>
        <v>143145.72413442389</v>
      </c>
      <c r="F237" s="8">
        <f t="shared" si="22"/>
        <v>200</v>
      </c>
      <c r="G237" s="16"/>
      <c r="H237" s="39">
        <f t="shared" si="23"/>
        <v>143345.72413442389</v>
      </c>
      <c r="I237" s="4"/>
    </row>
    <row r="238" spans="2:9" ht="14.25" customHeight="1" thickBot="1" x14ac:dyDescent="0.25">
      <c r="B238" s="49">
        <f t="shared" si="18"/>
        <v>228</v>
      </c>
      <c r="C238" s="40">
        <f t="shared" si="19"/>
        <v>143345.72413442389</v>
      </c>
      <c r="D238" s="40">
        <f t="shared" si="20"/>
        <v>1261.4423723829302</v>
      </c>
      <c r="E238" s="40">
        <f t="shared" si="21"/>
        <v>144607.16650680683</v>
      </c>
      <c r="F238" s="41">
        <f t="shared" si="22"/>
        <v>200</v>
      </c>
      <c r="G238" s="42"/>
      <c r="H238" s="43">
        <f t="shared" si="23"/>
        <v>144807.16650680683</v>
      </c>
      <c r="I238" s="4"/>
    </row>
    <row r="239" spans="2:9" ht="14.25" customHeight="1" x14ac:dyDescent="0.2">
      <c r="B239" s="46">
        <f t="shared" si="18"/>
        <v>229</v>
      </c>
      <c r="C239" s="36">
        <f t="shared" si="19"/>
        <v>144807.16650680683</v>
      </c>
      <c r="D239" s="36">
        <f t="shared" si="20"/>
        <v>1274.3030652599002</v>
      </c>
      <c r="E239" s="36">
        <f t="shared" si="21"/>
        <v>146081.46957206674</v>
      </c>
      <c r="F239" s="36">
        <f t="shared" si="22"/>
        <v>200</v>
      </c>
      <c r="G239" s="37"/>
      <c r="H239" s="38">
        <f t="shared" si="23"/>
        <v>146281.46957206674</v>
      </c>
      <c r="I239" s="4"/>
    </row>
    <row r="240" spans="2:9" ht="14.25" customHeight="1" x14ac:dyDescent="0.2">
      <c r="B240" s="47">
        <f t="shared" si="18"/>
        <v>230</v>
      </c>
      <c r="C240" s="8">
        <f t="shared" si="19"/>
        <v>146281.46957206674</v>
      </c>
      <c r="D240" s="8">
        <f t="shared" si="20"/>
        <v>1287.2769322341874</v>
      </c>
      <c r="E240" s="8">
        <f t="shared" si="21"/>
        <v>147568.74650430091</v>
      </c>
      <c r="F240" s="8">
        <f t="shared" si="22"/>
        <v>200</v>
      </c>
      <c r="G240" s="16"/>
      <c r="H240" s="39">
        <f t="shared" si="23"/>
        <v>147768.74650430091</v>
      </c>
      <c r="I240" s="4"/>
    </row>
    <row r="241" spans="2:12" ht="14.25" customHeight="1" x14ac:dyDescent="0.2">
      <c r="B241" s="47">
        <f t="shared" si="18"/>
        <v>231</v>
      </c>
      <c r="C241" s="8">
        <f t="shared" si="19"/>
        <v>147768.74650430091</v>
      </c>
      <c r="D241" s="8">
        <f t="shared" si="20"/>
        <v>1300.3649692378481</v>
      </c>
      <c r="E241" s="8">
        <f t="shared" si="21"/>
        <v>149069.11147353877</v>
      </c>
      <c r="F241" s="8">
        <f t="shared" si="22"/>
        <v>200</v>
      </c>
      <c r="G241" s="16"/>
      <c r="H241" s="39">
        <f t="shared" si="23"/>
        <v>149269.11147353877</v>
      </c>
      <c r="I241" s="4"/>
    </row>
    <row r="242" spans="2:12" ht="14.25" customHeight="1" x14ac:dyDescent="0.2">
      <c r="B242" s="48">
        <f t="shared" si="18"/>
        <v>232</v>
      </c>
      <c r="C242" s="9">
        <f t="shared" si="19"/>
        <v>149269.11147353877</v>
      </c>
      <c r="D242" s="9">
        <f t="shared" si="20"/>
        <v>1313.5681809671412</v>
      </c>
      <c r="E242" s="9">
        <f t="shared" si="21"/>
        <v>150582.67965450592</v>
      </c>
      <c r="F242" s="8">
        <f t="shared" si="22"/>
        <v>200</v>
      </c>
      <c r="G242" s="16"/>
      <c r="H242" s="39">
        <f t="shared" si="23"/>
        <v>150782.67965450592</v>
      </c>
      <c r="I242" s="4"/>
    </row>
    <row r="243" spans="2:12" ht="14.25" customHeight="1" x14ac:dyDescent="0.2">
      <c r="B243" s="48">
        <f t="shared" si="18"/>
        <v>233</v>
      </c>
      <c r="C243" s="9">
        <f t="shared" si="19"/>
        <v>150782.67965450592</v>
      </c>
      <c r="D243" s="9">
        <f t="shared" si="20"/>
        <v>1326.8875809596523</v>
      </c>
      <c r="E243" s="9">
        <f t="shared" si="21"/>
        <v>152109.56723546557</v>
      </c>
      <c r="F243" s="8">
        <f t="shared" si="22"/>
        <v>200</v>
      </c>
      <c r="G243" s="16"/>
      <c r="H243" s="39">
        <f t="shared" si="23"/>
        <v>152309.56723546557</v>
      </c>
      <c r="I243" s="4"/>
    </row>
    <row r="244" spans="2:12" ht="14.25" customHeight="1" x14ac:dyDescent="0.2">
      <c r="B244" s="48">
        <f t="shared" si="18"/>
        <v>234</v>
      </c>
      <c r="C244" s="9">
        <f t="shared" si="19"/>
        <v>152309.56723546557</v>
      </c>
      <c r="D244" s="9">
        <f t="shared" si="20"/>
        <v>1340.3241916720972</v>
      </c>
      <c r="E244" s="9">
        <f t="shared" si="21"/>
        <v>153649.89142713766</v>
      </c>
      <c r="F244" s="8">
        <f t="shared" si="22"/>
        <v>200</v>
      </c>
      <c r="G244" s="16"/>
      <c r="H244" s="39">
        <f t="shared" si="23"/>
        <v>153849.89142713766</v>
      </c>
      <c r="I244" s="4"/>
    </row>
    <row r="245" spans="2:12" ht="14.25" customHeight="1" x14ac:dyDescent="0.2">
      <c r="B245" s="47">
        <f t="shared" si="18"/>
        <v>235</v>
      </c>
      <c r="C245" s="8">
        <f t="shared" si="19"/>
        <v>153849.89142713766</v>
      </c>
      <c r="D245" s="8">
        <f t="shared" si="20"/>
        <v>1353.8790445588115</v>
      </c>
      <c r="E245" s="8">
        <f t="shared" si="21"/>
        <v>155203.77047169648</v>
      </c>
      <c r="F245" s="8">
        <f t="shared" si="22"/>
        <v>200</v>
      </c>
      <c r="G245" s="16"/>
      <c r="H245" s="39">
        <f t="shared" si="23"/>
        <v>155403.77047169648</v>
      </c>
      <c r="I245" s="4"/>
      <c r="L245" s="3"/>
    </row>
    <row r="246" spans="2:12" ht="14.25" customHeight="1" x14ac:dyDescent="0.2">
      <c r="B246" s="47">
        <f t="shared" si="18"/>
        <v>236</v>
      </c>
      <c r="C246" s="8">
        <f t="shared" si="19"/>
        <v>155403.77047169648</v>
      </c>
      <c r="D246" s="8">
        <f t="shared" si="20"/>
        <v>1367.5531801509292</v>
      </c>
      <c r="E246" s="8">
        <f t="shared" si="21"/>
        <v>156771.3236518474</v>
      </c>
      <c r="F246" s="8">
        <f t="shared" si="22"/>
        <v>200</v>
      </c>
      <c r="G246" s="16"/>
      <c r="H246" s="39">
        <f t="shared" si="23"/>
        <v>156971.3236518474</v>
      </c>
      <c r="I246" s="4"/>
    </row>
    <row r="247" spans="2:12" ht="14.25" customHeight="1" x14ac:dyDescent="0.2">
      <c r="B247" s="47">
        <f t="shared" si="18"/>
        <v>237</v>
      </c>
      <c r="C247" s="8">
        <f t="shared" si="19"/>
        <v>156971.3236518474</v>
      </c>
      <c r="D247" s="8">
        <f t="shared" si="20"/>
        <v>1381.3476481362572</v>
      </c>
      <c r="E247" s="8">
        <f t="shared" si="21"/>
        <v>158352.67129998366</v>
      </c>
      <c r="F247" s="8">
        <f t="shared" si="22"/>
        <v>200</v>
      </c>
      <c r="G247" s="16"/>
      <c r="H247" s="39">
        <f t="shared" si="23"/>
        <v>158552.67129998366</v>
      </c>
      <c r="I247" s="4"/>
    </row>
    <row r="248" spans="2:12" ht="14.25" customHeight="1" x14ac:dyDescent="0.2">
      <c r="B248" s="48">
        <f t="shared" si="18"/>
        <v>238</v>
      </c>
      <c r="C248" s="9">
        <f t="shared" si="19"/>
        <v>158552.67129998366</v>
      </c>
      <c r="D248" s="9">
        <f t="shared" si="20"/>
        <v>1395.2635074398563</v>
      </c>
      <c r="E248" s="9">
        <f t="shared" si="21"/>
        <v>159947.9348074235</v>
      </c>
      <c r="F248" s="8">
        <f t="shared" si="22"/>
        <v>200</v>
      </c>
      <c r="G248" s="16"/>
      <c r="H248" s="39">
        <f t="shared" si="23"/>
        <v>160147.9348074235</v>
      </c>
      <c r="I248" s="4"/>
    </row>
    <row r="249" spans="2:12" ht="14.25" customHeight="1" x14ac:dyDescent="0.2">
      <c r="B249" s="48">
        <f t="shared" si="18"/>
        <v>239</v>
      </c>
      <c r="C249" s="9">
        <f t="shared" si="19"/>
        <v>160147.9348074235</v>
      </c>
      <c r="D249" s="9">
        <f t="shared" si="20"/>
        <v>1409.3018263053268</v>
      </c>
      <c r="E249" s="9">
        <f t="shared" si="21"/>
        <v>161557.23663372884</v>
      </c>
      <c r="F249" s="8">
        <f t="shared" si="22"/>
        <v>200</v>
      </c>
      <c r="G249" s="16"/>
      <c r="H249" s="39">
        <f t="shared" si="23"/>
        <v>161757.23663372884</v>
      </c>
      <c r="I249" s="4"/>
    </row>
    <row r="250" spans="2:12" ht="14.25" customHeight="1" thickBot="1" x14ac:dyDescent="0.25">
      <c r="B250" s="49">
        <f t="shared" si="18"/>
        <v>240</v>
      </c>
      <c r="C250" s="40">
        <f t="shared" si="19"/>
        <v>161757.23663372884</v>
      </c>
      <c r="D250" s="40">
        <f t="shared" si="20"/>
        <v>1423.4636823768139</v>
      </c>
      <c r="E250" s="40">
        <f t="shared" si="21"/>
        <v>163180.70031610565</v>
      </c>
      <c r="F250" s="41">
        <f t="shared" si="22"/>
        <v>200</v>
      </c>
      <c r="G250" s="42"/>
      <c r="H250" s="43">
        <f t="shared" si="23"/>
        <v>163380.70031610565</v>
      </c>
      <c r="I250" s="4"/>
    </row>
    <row r="251" spans="2:12" ht="14.25" customHeight="1" x14ac:dyDescent="0.2">
      <c r="B251" s="46">
        <f t="shared" ref="B251:B286" si="24">IF(AND(B250&gt;0,B250&lt;E$8),B250+1,0)</f>
        <v>241</v>
      </c>
      <c r="C251" s="36">
        <f t="shared" ref="C251:C286" si="25">IF(B251&gt;0,H250,0)</f>
        <v>163380.70031610565</v>
      </c>
      <c r="D251" s="36">
        <f t="shared" ref="D251:D286" si="26">IF(B251&gt;0,C251*$F$8,0)</f>
        <v>1437.7501627817298</v>
      </c>
      <c r="E251" s="36">
        <f t="shared" ref="E251:E286" si="27">IF(B251&gt;0,C251+D251,0)</f>
        <v>164818.45047888739</v>
      </c>
      <c r="F251" s="36">
        <f t="shared" ref="F251:F286" si="28">IF(B251&gt;0,$D$8,0)</f>
        <v>200</v>
      </c>
      <c r="G251" s="37"/>
      <c r="H251" s="38">
        <f t="shared" ref="H251:H286" si="29">IF(B251&gt;0,E251+F251+G251,0)</f>
        <v>165018.45047888739</v>
      </c>
      <c r="I251" s="4"/>
    </row>
    <row r="252" spans="2:12" ht="14.25" customHeight="1" x14ac:dyDescent="0.2">
      <c r="B252" s="47">
        <f t="shared" si="24"/>
        <v>242</v>
      </c>
      <c r="C252" s="8">
        <f t="shared" si="25"/>
        <v>165018.45047888739</v>
      </c>
      <c r="D252" s="8">
        <f t="shared" si="26"/>
        <v>1452.1623642142092</v>
      </c>
      <c r="E252" s="8">
        <f t="shared" si="27"/>
        <v>166470.61284310161</v>
      </c>
      <c r="F252" s="8">
        <f t="shared" si="28"/>
        <v>200</v>
      </c>
      <c r="G252" s="16"/>
      <c r="H252" s="39">
        <f t="shared" si="29"/>
        <v>166670.61284310161</v>
      </c>
      <c r="I252" s="4"/>
    </row>
    <row r="253" spans="2:12" ht="14.25" customHeight="1" x14ac:dyDescent="0.2">
      <c r="B253" s="47">
        <f t="shared" si="24"/>
        <v>243</v>
      </c>
      <c r="C253" s="8">
        <f t="shared" si="25"/>
        <v>166670.61284310161</v>
      </c>
      <c r="D253" s="8">
        <f t="shared" si="26"/>
        <v>1466.7013930192943</v>
      </c>
      <c r="E253" s="8">
        <f t="shared" si="27"/>
        <v>168137.3142361209</v>
      </c>
      <c r="F253" s="8">
        <f t="shared" si="28"/>
        <v>200</v>
      </c>
      <c r="G253" s="16"/>
      <c r="H253" s="39">
        <f t="shared" si="29"/>
        <v>168337.3142361209</v>
      </c>
      <c r="I253" s="4"/>
    </row>
    <row r="254" spans="2:12" ht="14.25" customHeight="1" x14ac:dyDescent="0.2">
      <c r="B254" s="48">
        <f t="shared" si="24"/>
        <v>244</v>
      </c>
      <c r="C254" s="9">
        <f t="shared" si="25"/>
        <v>168337.3142361209</v>
      </c>
      <c r="D254" s="9">
        <f t="shared" si="26"/>
        <v>1481.3683652778641</v>
      </c>
      <c r="E254" s="9">
        <f t="shared" si="27"/>
        <v>169818.68260139876</v>
      </c>
      <c r="F254" s="8">
        <f t="shared" si="28"/>
        <v>200</v>
      </c>
      <c r="G254" s="16"/>
      <c r="H254" s="39">
        <f t="shared" si="29"/>
        <v>170018.68260139876</v>
      </c>
      <c r="I254" s="4"/>
    </row>
    <row r="255" spans="2:12" ht="14.25" customHeight="1" x14ac:dyDescent="0.2">
      <c r="B255" s="48">
        <f t="shared" si="24"/>
        <v>245</v>
      </c>
      <c r="C255" s="9">
        <f t="shared" si="25"/>
        <v>170018.68260139876</v>
      </c>
      <c r="D255" s="9">
        <f t="shared" si="26"/>
        <v>1496.1644068923092</v>
      </c>
      <c r="E255" s="9">
        <f t="shared" si="27"/>
        <v>171514.84700829108</v>
      </c>
      <c r="F255" s="8">
        <f t="shared" si="28"/>
        <v>200</v>
      </c>
      <c r="G255" s="16"/>
      <c r="H255" s="39">
        <f t="shared" si="29"/>
        <v>171714.84700829108</v>
      </c>
      <c r="I255" s="4"/>
    </row>
    <row r="256" spans="2:12" ht="14.25" customHeight="1" x14ac:dyDescent="0.2">
      <c r="B256" s="48">
        <f t="shared" si="24"/>
        <v>246</v>
      </c>
      <c r="C256" s="9">
        <f t="shared" si="25"/>
        <v>171714.84700829108</v>
      </c>
      <c r="D256" s="9">
        <f t="shared" si="26"/>
        <v>1511.0906536729615</v>
      </c>
      <c r="E256" s="9">
        <f t="shared" si="27"/>
        <v>173225.93766196404</v>
      </c>
      <c r="F256" s="8">
        <f t="shared" si="28"/>
        <v>200</v>
      </c>
      <c r="G256" s="16"/>
      <c r="H256" s="39">
        <f t="shared" si="29"/>
        <v>173425.93766196404</v>
      </c>
      <c r="I256" s="4"/>
    </row>
    <row r="257" spans="2:9" ht="14.25" customHeight="1" x14ac:dyDescent="0.2">
      <c r="B257" s="47">
        <f t="shared" si="24"/>
        <v>247</v>
      </c>
      <c r="C257" s="8">
        <f t="shared" si="25"/>
        <v>173425.93766196404</v>
      </c>
      <c r="D257" s="8">
        <f t="shared" si="26"/>
        <v>1526.1482514252837</v>
      </c>
      <c r="E257" s="8">
        <f t="shared" si="27"/>
        <v>174952.08591338931</v>
      </c>
      <c r="F257" s="8">
        <f t="shared" si="28"/>
        <v>200</v>
      </c>
      <c r="G257" s="16"/>
      <c r="H257" s="39">
        <f t="shared" si="29"/>
        <v>175152.08591338931</v>
      </c>
      <c r="I257" s="4"/>
    </row>
    <row r="258" spans="2:9" ht="14.25" customHeight="1" x14ac:dyDescent="0.2">
      <c r="B258" s="47">
        <f t="shared" si="24"/>
        <v>248</v>
      </c>
      <c r="C258" s="8">
        <f t="shared" si="25"/>
        <v>175152.08591338931</v>
      </c>
      <c r="D258" s="8">
        <f t="shared" si="26"/>
        <v>1541.3383560378261</v>
      </c>
      <c r="E258" s="8">
        <f t="shared" si="27"/>
        <v>176693.42426942714</v>
      </c>
      <c r="F258" s="8">
        <f t="shared" si="28"/>
        <v>200</v>
      </c>
      <c r="G258" s="16"/>
      <c r="H258" s="39">
        <f t="shared" si="29"/>
        <v>176893.42426942714</v>
      </c>
      <c r="I258" s="4"/>
    </row>
    <row r="259" spans="2:9" ht="14.25" customHeight="1" x14ac:dyDescent="0.2">
      <c r="B259" s="47">
        <f t="shared" si="24"/>
        <v>249</v>
      </c>
      <c r="C259" s="8">
        <f t="shared" si="25"/>
        <v>176893.42426942714</v>
      </c>
      <c r="D259" s="8">
        <f t="shared" si="26"/>
        <v>1556.662133570959</v>
      </c>
      <c r="E259" s="8">
        <f t="shared" si="27"/>
        <v>178450.0864029981</v>
      </c>
      <c r="F259" s="8">
        <f t="shared" si="28"/>
        <v>200</v>
      </c>
      <c r="G259" s="16"/>
      <c r="H259" s="39">
        <f t="shared" si="29"/>
        <v>178650.0864029981</v>
      </c>
      <c r="I259" s="4"/>
    </row>
    <row r="260" spans="2:9" ht="14.25" customHeight="1" x14ac:dyDescent="0.2">
      <c r="B260" s="48">
        <f t="shared" si="24"/>
        <v>250</v>
      </c>
      <c r="C260" s="9">
        <f t="shared" si="25"/>
        <v>178650.0864029981</v>
      </c>
      <c r="D260" s="9">
        <f t="shared" si="26"/>
        <v>1572.1207603463833</v>
      </c>
      <c r="E260" s="9">
        <f t="shared" si="27"/>
        <v>180222.20716334449</v>
      </c>
      <c r="F260" s="8">
        <f t="shared" si="28"/>
        <v>200</v>
      </c>
      <c r="G260" s="16"/>
      <c r="H260" s="39">
        <f t="shared" si="29"/>
        <v>180422.20716334449</v>
      </c>
      <c r="I260" s="4"/>
    </row>
    <row r="261" spans="2:9" ht="14.25" customHeight="1" x14ac:dyDescent="0.2">
      <c r="B261" s="48">
        <f t="shared" si="24"/>
        <v>251</v>
      </c>
      <c r="C261" s="9">
        <f t="shared" si="25"/>
        <v>180422.20716334449</v>
      </c>
      <c r="D261" s="9">
        <f t="shared" si="26"/>
        <v>1587.7154230374315</v>
      </c>
      <c r="E261" s="9">
        <f t="shared" si="27"/>
        <v>182009.92258638193</v>
      </c>
      <c r="F261" s="8">
        <f t="shared" si="28"/>
        <v>200</v>
      </c>
      <c r="G261" s="16"/>
      <c r="H261" s="39">
        <f t="shared" si="29"/>
        <v>182209.92258638193</v>
      </c>
      <c r="I261" s="4"/>
    </row>
    <row r="262" spans="2:9" ht="14.25" customHeight="1" thickBot="1" x14ac:dyDescent="0.25">
      <c r="B262" s="49">
        <f t="shared" si="24"/>
        <v>252</v>
      </c>
      <c r="C262" s="40">
        <f t="shared" si="25"/>
        <v>182209.92258638193</v>
      </c>
      <c r="D262" s="40">
        <f t="shared" si="26"/>
        <v>1603.4473187601611</v>
      </c>
      <c r="E262" s="40">
        <f t="shared" si="27"/>
        <v>183813.36990514208</v>
      </c>
      <c r="F262" s="41">
        <f t="shared" si="28"/>
        <v>200</v>
      </c>
      <c r="G262" s="42"/>
      <c r="H262" s="43">
        <f t="shared" si="29"/>
        <v>184013.36990514208</v>
      </c>
      <c r="I262" s="4"/>
    </row>
    <row r="263" spans="2:9" ht="14.25" customHeight="1" x14ac:dyDescent="0.2">
      <c r="B263" s="46">
        <f t="shared" si="24"/>
        <v>253</v>
      </c>
      <c r="C263" s="36">
        <f t="shared" si="25"/>
        <v>184013.36990514208</v>
      </c>
      <c r="D263" s="36">
        <f t="shared" si="26"/>
        <v>1619.3176551652505</v>
      </c>
      <c r="E263" s="36">
        <f t="shared" si="27"/>
        <v>185632.68756030733</v>
      </c>
      <c r="F263" s="36">
        <f t="shared" si="28"/>
        <v>200</v>
      </c>
      <c r="G263" s="37"/>
      <c r="H263" s="38">
        <f t="shared" si="29"/>
        <v>185832.68756030733</v>
      </c>
      <c r="I263" s="4"/>
    </row>
    <row r="264" spans="2:9" ht="14.25" customHeight="1" x14ac:dyDescent="0.2">
      <c r="B264" s="47">
        <f t="shared" si="24"/>
        <v>254</v>
      </c>
      <c r="C264" s="8">
        <f t="shared" si="25"/>
        <v>185832.68756030733</v>
      </c>
      <c r="D264" s="8">
        <f t="shared" si="26"/>
        <v>1635.3276505307047</v>
      </c>
      <c r="E264" s="8">
        <f t="shared" si="27"/>
        <v>187468.01521083803</v>
      </c>
      <c r="F264" s="8">
        <f t="shared" si="28"/>
        <v>200</v>
      </c>
      <c r="G264" s="16"/>
      <c r="H264" s="39">
        <f t="shared" si="29"/>
        <v>187668.01521083803</v>
      </c>
      <c r="I264" s="4"/>
    </row>
    <row r="265" spans="2:9" ht="14.25" customHeight="1" x14ac:dyDescent="0.2">
      <c r="B265" s="47">
        <f t="shared" si="24"/>
        <v>255</v>
      </c>
      <c r="C265" s="8">
        <f t="shared" si="25"/>
        <v>187668.01521083803</v>
      </c>
      <c r="D265" s="8">
        <f t="shared" si="26"/>
        <v>1651.4785338553747</v>
      </c>
      <c r="E265" s="8">
        <f t="shared" si="27"/>
        <v>189319.49374469341</v>
      </c>
      <c r="F265" s="8">
        <f t="shared" si="28"/>
        <v>200</v>
      </c>
      <c r="G265" s="16"/>
      <c r="H265" s="39">
        <f t="shared" si="29"/>
        <v>189519.49374469341</v>
      </c>
      <c r="I265" s="4"/>
    </row>
    <row r="266" spans="2:9" ht="14.25" customHeight="1" x14ac:dyDescent="0.2">
      <c r="B266" s="48">
        <f t="shared" si="24"/>
        <v>256</v>
      </c>
      <c r="C266" s="9">
        <f t="shared" si="25"/>
        <v>189519.49374469341</v>
      </c>
      <c r="D266" s="9">
        <f t="shared" si="26"/>
        <v>1667.7715449533021</v>
      </c>
      <c r="E266" s="9">
        <f t="shared" si="27"/>
        <v>191187.26528964672</v>
      </c>
      <c r="F266" s="8">
        <f t="shared" si="28"/>
        <v>200</v>
      </c>
      <c r="G266" s="16"/>
      <c r="H266" s="39">
        <f t="shared" si="29"/>
        <v>191387.26528964672</v>
      </c>
      <c r="I266" s="4"/>
    </row>
    <row r="267" spans="2:9" ht="14.25" customHeight="1" x14ac:dyDescent="0.2">
      <c r="B267" s="48">
        <f t="shared" si="24"/>
        <v>257</v>
      </c>
      <c r="C267" s="9">
        <f t="shared" si="25"/>
        <v>191387.26528964672</v>
      </c>
      <c r="D267" s="9">
        <f t="shared" si="26"/>
        <v>1684.2079345488912</v>
      </c>
      <c r="E267" s="9">
        <f t="shared" si="27"/>
        <v>193071.47322419562</v>
      </c>
      <c r="F267" s="8">
        <f t="shared" si="28"/>
        <v>200</v>
      </c>
      <c r="G267" s="16"/>
      <c r="H267" s="39">
        <f t="shared" si="29"/>
        <v>193271.47322419562</v>
      </c>
      <c r="I267" s="4"/>
    </row>
    <row r="268" spans="2:9" ht="14.25" customHeight="1" x14ac:dyDescent="0.2">
      <c r="B268" s="48">
        <f t="shared" si="24"/>
        <v>258</v>
      </c>
      <c r="C268" s="9">
        <f t="shared" si="25"/>
        <v>193271.47322419562</v>
      </c>
      <c r="D268" s="9">
        <f t="shared" si="26"/>
        <v>1700.7889643729216</v>
      </c>
      <c r="E268" s="9">
        <f t="shared" si="27"/>
        <v>194972.26218856854</v>
      </c>
      <c r="F268" s="8">
        <f t="shared" si="28"/>
        <v>200</v>
      </c>
      <c r="G268" s="16"/>
      <c r="H268" s="39">
        <f t="shared" si="29"/>
        <v>195172.26218856854</v>
      </c>
      <c r="I268" s="4"/>
    </row>
    <row r="269" spans="2:9" ht="14.25" customHeight="1" x14ac:dyDescent="0.2">
      <c r="B269" s="47">
        <f t="shared" si="24"/>
        <v>259</v>
      </c>
      <c r="C269" s="8">
        <f t="shared" si="25"/>
        <v>195172.26218856854</v>
      </c>
      <c r="D269" s="8">
        <f t="shared" si="26"/>
        <v>1717.5159072594033</v>
      </c>
      <c r="E269" s="8">
        <f t="shared" si="27"/>
        <v>196889.77809582793</v>
      </c>
      <c r="F269" s="8">
        <f t="shared" si="28"/>
        <v>200</v>
      </c>
      <c r="G269" s="16"/>
      <c r="H269" s="39">
        <f t="shared" si="29"/>
        <v>197089.77809582793</v>
      </c>
      <c r="I269" s="4"/>
    </row>
    <row r="270" spans="2:9" ht="14.25" customHeight="1" x14ac:dyDescent="0.2">
      <c r="B270" s="47">
        <f t="shared" si="24"/>
        <v>260</v>
      </c>
      <c r="C270" s="8">
        <f t="shared" si="25"/>
        <v>197089.77809582793</v>
      </c>
      <c r="D270" s="8">
        <f t="shared" si="26"/>
        <v>1734.3900472432858</v>
      </c>
      <c r="E270" s="8">
        <f t="shared" si="27"/>
        <v>198824.16814307121</v>
      </c>
      <c r="F270" s="8">
        <f t="shared" si="28"/>
        <v>200</v>
      </c>
      <c r="G270" s="16"/>
      <c r="H270" s="39">
        <f t="shared" si="29"/>
        <v>199024.16814307121</v>
      </c>
      <c r="I270" s="4"/>
    </row>
    <row r="271" spans="2:9" ht="14.25" customHeight="1" x14ac:dyDescent="0.2">
      <c r="B271" s="47">
        <f t="shared" si="24"/>
        <v>261</v>
      </c>
      <c r="C271" s="8">
        <f t="shared" si="25"/>
        <v>199024.16814307121</v>
      </c>
      <c r="D271" s="8">
        <f t="shared" si="26"/>
        <v>1751.4126796590267</v>
      </c>
      <c r="E271" s="8">
        <f t="shared" si="27"/>
        <v>200775.58082273023</v>
      </c>
      <c r="F271" s="8">
        <f t="shared" si="28"/>
        <v>200</v>
      </c>
      <c r="G271" s="16"/>
      <c r="H271" s="39">
        <f t="shared" si="29"/>
        <v>200975.58082273023</v>
      </c>
      <c r="I271" s="4"/>
    </row>
    <row r="272" spans="2:9" ht="14.25" customHeight="1" x14ac:dyDescent="0.2">
      <c r="B272" s="48">
        <f t="shared" si="24"/>
        <v>262</v>
      </c>
      <c r="C272" s="9">
        <f t="shared" si="25"/>
        <v>200975.58082273023</v>
      </c>
      <c r="D272" s="9">
        <f t="shared" si="26"/>
        <v>1768.5851112400262</v>
      </c>
      <c r="E272" s="9">
        <f t="shared" si="27"/>
        <v>202744.16593397025</v>
      </c>
      <c r="F272" s="8">
        <f t="shared" si="28"/>
        <v>200</v>
      </c>
      <c r="G272" s="16"/>
      <c r="H272" s="39">
        <f t="shared" si="29"/>
        <v>202944.16593397025</v>
      </c>
      <c r="I272" s="4"/>
    </row>
    <row r="273" spans="2:9" ht="14.25" customHeight="1" x14ac:dyDescent="0.2">
      <c r="B273" s="48">
        <f t="shared" si="24"/>
        <v>263</v>
      </c>
      <c r="C273" s="9">
        <f t="shared" si="25"/>
        <v>202944.16593397025</v>
      </c>
      <c r="D273" s="9">
        <f t="shared" si="26"/>
        <v>1785.9086602189382</v>
      </c>
      <c r="E273" s="9">
        <f t="shared" si="27"/>
        <v>204730.07459418918</v>
      </c>
      <c r="F273" s="8">
        <f t="shared" si="28"/>
        <v>200</v>
      </c>
      <c r="G273" s="16"/>
      <c r="H273" s="39">
        <f t="shared" si="29"/>
        <v>204930.07459418918</v>
      </c>
      <c r="I273" s="4"/>
    </row>
    <row r="274" spans="2:9" ht="14.25" customHeight="1" thickBot="1" x14ac:dyDescent="0.25">
      <c r="B274" s="49">
        <f t="shared" si="24"/>
        <v>264</v>
      </c>
      <c r="C274" s="40">
        <f t="shared" si="25"/>
        <v>204930.07459418918</v>
      </c>
      <c r="D274" s="40">
        <f t="shared" si="26"/>
        <v>1803.3846564288649</v>
      </c>
      <c r="E274" s="40">
        <f t="shared" si="27"/>
        <v>206733.45925061803</v>
      </c>
      <c r="F274" s="41">
        <f t="shared" si="28"/>
        <v>200</v>
      </c>
      <c r="G274" s="42"/>
      <c r="H274" s="43">
        <f t="shared" si="29"/>
        <v>206933.45925061803</v>
      </c>
      <c r="I274" s="4"/>
    </row>
    <row r="275" spans="2:9" ht="14.25" customHeight="1" x14ac:dyDescent="0.2">
      <c r="B275" s="46">
        <f t="shared" si="24"/>
        <v>265</v>
      </c>
      <c r="C275" s="36">
        <f t="shared" si="25"/>
        <v>206933.45925061803</v>
      </c>
      <c r="D275" s="36">
        <f t="shared" si="26"/>
        <v>1821.0144414054389</v>
      </c>
      <c r="E275" s="36">
        <f t="shared" si="27"/>
        <v>208754.47369202349</v>
      </c>
      <c r="F275" s="36">
        <f t="shared" si="28"/>
        <v>200</v>
      </c>
      <c r="G275" s="37"/>
      <c r="H275" s="38">
        <f t="shared" si="29"/>
        <v>208954.47369202349</v>
      </c>
      <c r="I275" s="4"/>
    </row>
    <row r="276" spans="2:9" ht="14.25" customHeight="1" x14ac:dyDescent="0.2">
      <c r="B276" s="47">
        <f t="shared" si="24"/>
        <v>266</v>
      </c>
      <c r="C276" s="8">
        <f t="shared" si="25"/>
        <v>208954.47369202349</v>
      </c>
      <c r="D276" s="8">
        <f t="shared" si="26"/>
        <v>1838.7993684898067</v>
      </c>
      <c r="E276" s="8">
        <f t="shared" si="27"/>
        <v>210793.27306051328</v>
      </c>
      <c r="F276" s="8">
        <f t="shared" si="28"/>
        <v>200</v>
      </c>
      <c r="G276" s="16"/>
      <c r="H276" s="39">
        <f t="shared" si="29"/>
        <v>210993.27306051328</v>
      </c>
      <c r="I276" s="4"/>
    </row>
    <row r="277" spans="2:9" ht="14.25" customHeight="1" x14ac:dyDescent="0.2">
      <c r="B277" s="47">
        <f t="shared" si="24"/>
        <v>267</v>
      </c>
      <c r="C277" s="8">
        <f t="shared" si="25"/>
        <v>210993.27306051328</v>
      </c>
      <c r="D277" s="8">
        <f t="shared" si="26"/>
        <v>1856.740802932517</v>
      </c>
      <c r="E277" s="8">
        <f t="shared" si="27"/>
        <v>212850.01386344581</v>
      </c>
      <c r="F277" s="8">
        <f t="shared" si="28"/>
        <v>200</v>
      </c>
      <c r="G277" s="16"/>
      <c r="H277" s="39">
        <f t="shared" si="29"/>
        <v>213050.01386344581</v>
      </c>
      <c r="I277" s="4"/>
    </row>
    <row r="278" spans="2:9" ht="14.25" customHeight="1" x14ac:dyDescent="0.2">
      <c r="B278" s="48">
        <f t="shared" si="24"/>
        <v>268</v>
      </c>
      <c r="C278" s="9">
        <f t="shared" si="25"/>
        <v>213050.01386344581</v>
      </c>
      <c r="D278" s="9">
        <f t="shared" si="26"/>
        <v>1874.8401219983232</v>
      </c>
      <c r="E278" s="9">
        <f t="shared" si="27"/>
        <v>214924.85398544415</v>
      </c>
      <c r="F278" s="8">
        <f t="shared" si="28"/>
        <v>200</v>
      </c>
      <c r="G278" s="16"/>
      <c r="H278" s="39">
        <f t="shared" si="29"/>
        <v>215124.85398544415</v>
      </c>
      <c r="I278" s="4"/>
    </row>
    <row r="279" spans="2:9" ht="14.25" customHeight="1" x14ac:dyDescent="0.2">
      <c r="B279" s="48">
        <f t="shared" si="24"/>
        <v>269</v>
      </c>
      <c r="C279" s="9">
        <f t="shared" si="25"/>
        <v>215124.85398544415</v>
      </c>
      <c r="D279" s="9">
        <f t="shared" si="26"/>
        <v>1893.0987150719086</v>
      </c>
      <c r="E279" s="9">
        <f t="shared" si="27"/>
        <v>217017.95270051606</v>
      </c>
      <c r="F279" s="8">
        <f t="shared" si="28"/>
        <v>200</v>
      </c>
      <c r="G279" s="16"/>
      <c r="H279" s="39">
        <f t="shared" si="29"/>
        <v>217217.95270051606</v>
      </c>
      <c r="I279" s="4"/>
    </row>
    <row r="280" spans="2:9" ht="14.25" customHeight="1" x14ac:dyDescent="0.2">
      <c r="B280" s="48">
        <f t="shared" si="24"/>
        <v>270</v>
      </c>
      <c r="C280" s="9">
        <f t="shared" si="25"/>
        <v>217217.95270051606</v>
      </c>
      <c r="D280" s="9">
        <f t="shared" si="26"/>
        <v>1911.5179837645414</v>
      </c>
      <c r="E280" s="9">
        <f t="shared" si="27"/>
        <v>219129.47068428062</v>
      </c>
      <c r="F280" s="8">
        <f t="shared" si="28"/>
        <v>200</v>
      </c>
      <c r="G280" s="16"/>
      <c r="H280" s="39">
        <f t="shared" si="29"/>
        <v>219329.47068428062</v>
      </c>
      <c r="I280" s="4"/>
    </row>
    <row r="281" spans="2:9" ht="14.25" customHeight="1" x14ac:dyDescent="0.2">
      <c r="B281" s="47">
        <f t="shared" si="24"/>
        <v>271</v>
      </c>
      <c r="C281" s="8">
        <f t="shared" si="25"/>
        <v>219329.47068428062</v>
      </c>
      <c r="D281" s="8">
        <f t="shared" si="26"/>
        <v>1930.0993420216696</v>
      </c>
      <c r="E281" s="8">
        <f t="shared" si="27"/>
        <v>221259.5700263023</v>
      </c>
      <c r="F281" s="8">
        <f t="shared" si="28"/>
        <v>200</v>
      </c>
      <c r="G281" s="16"/>
      <c r="H281" s="39">
        <f t="shared" si="29"/>
        <v>221459.5700263023</v>
      </c>
      <c r="I281" s="4"/>
    </row>
    <row r="282" spans="2:9" ht="14.25" customHeight="1" x14ac:dyDescent="0.2">
      <c r="B282" s="47">
        <f t="shared" si="24"/>
        <v>272</v>
      </c>
      <c r="C282" s="8">
        <f t="shared" si="25"/>
        <v>221459.5700263023</v>
      </c>
      <c r="D282" s="8">
        <f t="shared" si="26"/>
        <v>1948.8442162314605</v>
      </c>
      <c r="E282" s="8">
        <f t="shared" si="27"/>
        <v>223408.41424253376</v>
      </c>
      <c r="F282" s="8">
        <f t="shared" si="28"/>
        <v>200</v>
      </c>
      <c r="G282" s="16"/>
      <c r="H282" s="39">
        <f t="shared" si="29"/>
        <v>223608.41424253376</v>
      </c>
      <c r="I282" s="4"/>
    </row>
    <row r="283" spans="2:9" ht="14.25" customHeight="1" x14ac:dyDescent="0.2">
      <c r="B283" s="47">
        <f t="shared" si="24"/>
        <v>273</v>
      </c>
      <c r="C283" s="8">
        <f t="shared" si="25"/>
        <v>223608.41424253376</v>
      </c>
      <c r="D283" s="8">
        <f t="shared" si="26"/>
        <v>1967.7540453342972</v>
      </c>
      <c r="E283" s="8">
        <f t="shared" si="27"/>
        <v>225576.16828786806</v>
      </c>
      <c r="F283" s="8">
        <f t="shared" si="28"/>
        <v>200</v>
      </c>
      <c r="G283" s="16"/>
      <c r="H283" s="39">
        <f t="shared" si="29"/>
        <v>225776.16828786806</v>
      </c>
      <c r="I283" s="4"/>
    </row>
    <row r="284" spans="2:9" ht="14.25" customHeight="1" x14ac:dyDescent="0.2">
      <c r="B284" s="48">
        <f t="shared" si="24"/>
        <v>274</v>
      </c>
      <c r="C284" s="9">
        <f t="shared" si="25"/>
        <v>225776.16828786806</v>
      </c>
      <c r="D284" s="9">
        <f t="shared" si="26"/>
        <v>1986.830280933239</v>
      </c>
      <c r="E284" s="9">
        <f t="shared" si="27"/>
        <v>227762.9985688013</v>
      </c>
      <c r="F284" s="8">
        <f t="shared" si="28"/>
        <v>200</v>
      </c>
      <c r="G284" s="16"/>
      <c r="H284" s="39">
        <f t="shared" si="29"/>
        <v>227962.9985688013</v>
      </c>
      <c r="I284" s="4"/>
    </row>
    <row r="285" spans="2:9" ht="14.25" customHeight="1" x14ac:dyDescent="0.2">
      <c r="B285" s="48">
        <f t="shared" si="24"/>
        <v>275</v>
      </c>
      <c r="C285" s="9">
        <f t="shared" si="25"/>
        <v>227962.9985688013</v>
      </c>
      <c r="D285" s="9">
        <f t="shared" si="26"/>
        <v>2006.0743874054515</v>
      </c>
      <c r="E285" s="9">
        <f t="shared" si="27"/>
        <v>229969.07295620674</v>
      </c>
      <c r="F285" s="8">
        <f t="shared" si="28"/>
        <v>200</v>
      </c>
      <c r="G285" s="16"/>
      <c r="H285" s="39">
        <f t="shared" si="29"/>
        <v>230169.07295620674</v>
      </c>
      <c r="I285" s="4"/>
    </row>
    <row r="286" spans="2:9" ht="14.25" customHeight="1" thickBot="1" x14ac:dyDescent="0.25">
      <c r="B286" s="49">
        <f t="shared" si="24"/>
        <v>276</v>
      </c>
      <c r="C286" s="40">
        <f t="shared" si="25"/>
        <v>230169.07295620674</v>
      </c>
      <c r="D286" s="40">
        <f t="shared" si="26"/>
        <v>2025.4878420146194</v>
      </c>
      <c r="E286" s="40">
        <f t="shared" si="27"/>
        <v>232194.56079822136</v>
      </c>
      <c r="F286" s="41">
        <f t="shared" si="28"/>
        <v>200</v>
      </c>
      <c r="G286" s="42"/>
      <c r="H286" s="43">
        <f t="shared" si="29"/>
        <v>232394.56079822136</v>
      </c>
      <c r="I286" s="4"/>
    </row>
    <row r="287" spans="2:9" ht="14.25" customHeight="1" x14ac:dyDescent="0.2">
      <c r="B287" s="50">
        <f t="shared" ref="B287:B331" si="30">IF(AND(B286&gt;0,B286&lt;E$8),B286+1,0)</f>
        <v>277</v>
      </c>
      <c r="C287" s="8">
        <f t="shared" ref="C287:C331" si="31">IF(B287&gt;0,H286,0)</f>
        <v>232394.56079822136</v>
      </c>
      <c r="D287" s="8">
        <f t="shared" ref="D287:D330" si="32">IF(B287&gt;0,C287*$F$8,0)</f>
        <v>2045.072135024348</v>
      </c>
      <c r="E287" s="8">
        <f t="shared" ref="E287:E331" si="33">IF(B287&gt;0,C287+D287,0)</f>
        <v>234439.63293324571</v>
      </c>
      <c r="F287" s="8">
        <f t="shared" ref="F287:F330" si="34">IF(B287&gt;0,$D$8,0)</f>
        <v>200</v>
      </c>
      <c r="G287" s="16"/>
      <c r="H287" s="8">
        <f t="shared" ref="H287:H330" si="35">IF(B287&gt;0,E287+F287+G287,0)</f>
        <v>234639.63293324571</v>
      </c>
      <c r="I287" s="4"/>
    </row>
    <row r="288" spans="2:9" ht="14.25" customHeight="1" x14ac:dyDescent="0.2">
      <c r="B288" s="50">
        <f t="shared" si="30"/>
        <v>278</v>
      </c>
      <c r="C288" s="8">
        <f t="shared" si="31"/>
        <v>234639.63293324571</v>
      </c>
      <c r="D288" s="8">
        <f t="shared" si="32"/>
        <v>2064.8287698125623</v>
      </c>
      <c r="E288" s="8">
        <f t="shared" si="33"/>
        <v>236704.46170305827</v>
      </c>
      <c r="F288" s="8">
        <f t="shared" si="34"/>
        <v>200</v>
      </c>
      <c r="G288" s="16"/>
      <c r="H288" s="8">
        <f t="shared" si="35"/>
        <v>236904.46170305827</v>
      </c>
      <c r="I288" s="4"/>
    </row>
    <row r="289" spans="2:9" ht="14.25" customHeight="1" x14ac:dyDescent="0.2">
      <c r="B289" s="50">
        <f t="shared" si="30"/>
        <v>279</v>
      </c>
      <c r="C289" s="8">
        <f t="shared" si="31"/>
        <v>236904.46170305827</v>
      </c>
      <c r="D289" s="8">
        <f t="shared" si="32"/>
        <v>2084.7592629869127</v>
      </c>
      <c r="E289" s="8">
        <f t="shared" si="33"/>
        <v>238989.22096604519</v>
      </c>
      <c r="F289" s="8">
        <f t="shared" si="34"/>
        <v>200</v>
      </c>
      <c r="G289" s="16"/>
      <c r="H289" s="8">
        <f t="shared" si="35"/>
        <v>239189.22096604519</v>
      </c>
      <c r="I289" s="4"/>
    </row>
    <row r="290" spans="2:9" ht="14.25" customHeight="1" x14ac:dyDescent="0.2">
      <c r="B290" s="51">
        <f t="shared" si="30"/>
        <v>280</v>
      </c>
      <c r="C290" s="9">
        <f t="shared" si="31"/>
        <v>239189.22096604519</v>
      </c>
      <c r="D290" s="9">
        <f t="shared" si="32"/>
        <v>2104.8651445011978</v>
      </c>
      <c r="E290" s="9">
        <f t="shared" si="33"/>
        <v>241294.0861105464</v>
      </c>
      <c r="F290" s="8">
        <f t="shared" si="34"/>
        <v>200</v>
      </c>
      <c r="G290" s="16"/>
      <c r="H290" s="8">
        <f t="shared" si="35"/>
        <v>241494.0861105464</v>
      </c>
      <c r="I290" s="4"/>
    </row>
    <row r="291" spans="2:9" ht="14.25" customHeight="1" x14ac:dyDescent="0.2">
      <c r="B291" s="51">
        <f t="shared" si="30"/>
        <v>281</v>
      </c>
      <c r="C291" s="9">
        <f t="shared" si="31"/>
        <v>241494.0861105464</v>
      </c>
      <c r="D291" s="9">
        <f t="shared" si="32"/>
        <v>2125.1479577728082</v>
      </c>
      <c r="E291" s="9">
        <f t="shared" si="33"/>
        <v>243619.2340683192</v>
      </c>
      <c r="F291" s="8">
        <f t="shared" si="34"/>
        <v>200</v>
      </c>
      <c r="G291" s="16"/>
      <c r="H291" s="8">
        <f t="shared" si="35"/>
        <v>243819.2340683192</v>
      </c>
      <c r="I291" s="4"/>
    </row>
    <row r="292" spans="2:9" ht="14.25" customHeight="1" x14ac:dyDescent="0.2">
      <c r="B292" s="51">
        <f t="shared" si="30"/>
        <v>282</v>
      </c>
      <c r="C292" s="9">
        <f t="shared" si="31"/>
        <v>243819.2340683192</v>
      </c>
      <c r="D292" s="9">
        <f t="shared" si="32"/>
        <v>2145.6092598012092</v>
      </c>
      <c r="E292" s="9">
        <f t="shared" si="33"/>
        <v>245964.84332812042</v>
      </c>
      <c r="F292" s="8">
        <f t="shared" si="34"/>
        <v>200</v>
      </c>
      <c r="G292" s="16"/>
      <c r="H292" s="8">
        <f t="shared" si="35"/>
        <v>246164.84332812042</v>
      </c>
      <c r="I292" s="4"/>
    </row>
    <row r="293" spans="2:9" ht="14.25" customHeight="1" x14ac:dyDescent="0.2">
      <c r="B293" s="50">
        <f t="shared" si="30"/>
        <v>283</v>
      </c>
      <c r="C293" s="8">
        <f t="shared" si="31"/>
        <v>246164.84332812042</v>
      </c>
      <c r="D293" s="8">
        <f t="shared" si="32"/>
        <v>2166.25062128746</v>
      </c>
      <c r="E293" s="8">
        <f t="shared" si="33"/>
        <v>248331.09394940789</v>
      </c>
      <c r="F293" s="8">
        <f t="shared" si="34"/>
        <v>200</v>
      </c>
      <c r="G293" s="16"/>
      <c r="H293" s="8">
        <f t="shared" si="35"/>
        <v>248531.09394940789</v>
      </c>
      <c r="I293" s="4"/>
    </row>
    <row r="294" spans="2:9" ht="14.25" customHeight="1" x14ac:dyDescent="0.2">
      <c r="B294" s="50">
        <f t="shared" si="30"/>
        <v>284</v>
      </c>
      <c r="C294" s="8">
        <f t="shared" si="31"/>
        <v>248531.09394940789</v>
      </c>
      <c r="D294" s="8">
        <f t="shared" si="32"/>
        <v>2187.0736267547895</v>
      </c>
      <c r="E294" s="8">
        <f t="shared" si="33"/>
        <v>250718.16757616267</v>
      </c>
      <c r="F294" s="8">
        <f t="shared" si="34"/>
        <v>200</v>
      </c>
      <c r="G294" s="16"/>
      <c r="H294" s="8">
        <f t="shared" si="35"/>
        <v>250918.16757616267</v>
      </c>
      <c r="I294" s="4"/>
    </row>
    <row r="295" spans="2:9" ht="14.25" customHeight="1" x14ac:dyDescent="0.2">
      <c r="B295" s="50">
        <f t="shared" si="30"/>
        <v>285</v>
      </c>
      <c r="C295" s="8">
        <f t="shared" si="31"/>
        <v>250918.16757616267</v>
      </c>
      <c r="D295" s="8">
        <f t="shared" si="32"/>
        <v>2208.0798746702317</v>
      </c>
      <c r="E295" s="8">
        <f t="shared" si="33"/>
        <v>253126.24745083289</v>
      </c>
      <c r="F295" s="8">
        <f t="shared" si="34"/>
        <v>200</v>
      </c>
      <c r="G295" s="16"/>
      <c r="H295" s="8">
        <f t="shared" si="35"/>
        <v>253326.24745083289</v>
      </c>
      <c r="I295" s="4"/>
    </row>
    <row r="296" spans="2:9" ht="14.25" customHeight="1" x14ac:dyDescent="0.2">
      <c r="B296" s="51">
        <f t="shared" si="30"/>
        <v>286</v>
      </c>
      <c r="C296" s="9">
        <f t="shared" si="31"/>
        <v>253326.24745083289</v>
      </c>
      <c r="D296" s="9">
        <f t="shared" si="32"/>
        <v>2229.2709775673297</v>
      </c>
      <c r="E296" s="9">
        <f t="shared" si="33"/>
        <v>255555.51842840022</v>
      </c>
      <c r="F296" s="8">
        <f t="shared" si="34"/>
        <v>200</v>
      </c>
      <c r="G296" s="16"/>
      <c r="H296" s="8">
        <f t="shared" si="35"/>
        <v>255755.51842840022</v>
      </c>
      <c r="I296" s="4"/>
    </row>
    <row r="297" spans="2:9" ht="14.25" customHeight="1" x14ac:dyDescent="0.2">
      <c r="B297" s="51">
        <f t="shared" si="30"/>
        <v>287</v>
      </c>
      <c r="C297" s="9">
        <f t="shared" si="31"/>
        <v>255755.51842840022</v>
      </c>
      <c r="D297" s="9">
        <f t="shared" si="32"/>
        <v>2250.6485621699221</v>
      </c>
      <c r="E297" s="9">
        <f t="shared" si="33"/>
        <v>258006.16699057014</v>
      </c>
      <c r="F297" s="8">
        <f t="shared" si="34"/>
        <v>200</v>
      </c>
      <c r="G297" s="16"/>
      <c r="H297" s="8">
        <f t="shared" si="35"/>
        <v>258206.16699057014</v>
      </c>
      <c r="I297" s="4"/>
    </row>
    <row r="298" spans="2:9" ht="14.25" customHeight="1" x14ac:dyDescent="0.2">
      <c r="B298" s="51">
        <f t="shared" si="30"/>
        <v>288</v>
      </c>
      <c r="C298" s="9">
        <f t="shared" si="31"/>
        <v>258206.16699057014</v>
      </c>
      <c r="D298" s="9">
        <f t="shared" si="32"/>
        <v>2272.2142695170173</v>
      </c>
      <c r="E298" s="9">
        <f t="shared" si="33"/>
        <v>260478.38126008716</v>
      </c>
      <c r="F298" s="8">
        <f t="shared" si="34"/>
        <v>200</v>
      </c>
      <c r="G298" s="16"/>
      <c r="H298" s="8">
        <f t="shared" si="35"/>
        <v>260678.38126008716</v>
      </c>
      <c r="I298" s="4"/>
    </row>
    <row r="299" spans="2:9" ht="14.25" customHeight="1" x14ac:dyDescent="0.2">
      <c r="B299" s="50">
        <f t="shared" si="30"/>
        <v>289</v>
      </c>
      <c r="C299" s="8">
        <f t="shared" si="31"/>
        <v>260678.38126008716</v>
      </c>
      <c r="D299" s="8">
        <f t="shared" si="32"/>
        <v>2293.9697550887672</v>
      </c>
      <c r="E299" s="8">
        <f t="shared" si="33"/>
        <v>262972.35101517593</v>
      </c>
      <c r="F299" s="8">
        <f t="shared" si="34"/>
        <v>200</v>
      </c>
      <c r="G299" s="16"/>
      <c r="H299" s="8">
        <f t="shared" si="35"/>
        <v>263172.35101517593</v>
      </c>
      <c r="I299" s="4"/>
    </row>
    <row r="300" spans="2:9" ht="14.25" customHeight="1" x14ac:dyDescent="0.2">
      <c r="B300" s="50">
        <f t="shared" si="30"/>
        <v>290</v>
      </c>
      <c r="C300" s="8">
        <f t="shared" si="31"/>
        <v>263172.35101517593</v>
      </c>
      <c r="D300" s="8">
        <f t="shared" si="32"/>
        <v>2315.9166889335484</v>
      </c>
      <c r="E300" s="8">
        <f t="shared" si="33"/>
        <v>265488.26770410949</v>
      </c>
      <c r="F300" s="8">
        <f t="shared" si="34"/>
        <v>200</v>
      </c>
      <c r="G300" s="16"/>
      <c r="H300" s="8">
        <f t="shared" si="35"/>
        <v>265688.26770410949</v>
      </c>
      <c r="I300" s="4"/>
    </row>
    <row r="301" spans="2:9" ht="14.25" customHeight="1" x14ac:dyDescent="0.2">
      <c r="B301" s="50">
        <f t="shared" si="30"/>
        <v>291</v>
      </c>
      <c r="C301" s="8">
        <f t="shared" si="31"/>
        <v>265688.26770410949</v>
      </c>
      <c r="D301" s="8">
        <f t="shared" si="32"/>
        <v>2338.0567557961635</v>
      </c>
      <c r="E301" s="8">
        <f t="shared" si="33"/>
        <v>268026.32445990568</v>
      </c>
      <c r="F301" s="8">
        <f t="shared" si="34"/>
        <v>200</v>
      </c>
      <c r="G301" s="16"/>
      <c r="H301" s="8">
        <f t="shared" si="35"/>
        <v>268226.32445990568</v>
      </c>
      <c r="I301" s="4"/>
    </row>
    <row r="302" spans="2:9" ht="14.25" customHeight="1" x14ac:dyDescent="0.2">
      <c r="B302" s="51">
        <f t="shared" si="30"/>
        <v>292</v>
      </c>
      <c r="C302" s="9">
        <f t="shared" si="31"/>
        <v>268226.32445990568</v>
      </c>
      <c r="D302" s="9">
        <f t="shared" si="32"/>
        <v>2360.3916552471701</v>
      </c>
      <c r="E302" s="9">
        <f t="shared" si="33"/>
        <v>270586.71611515287</v>
      </c>
      <c r="F302" s="8">
        <f t="shared" si="34"/>
        <v>200</v>
      </c>
      <c r="G302" s="16"/>
      <c r="H302" s="8">
        <f t="shared" si="35"/>
        <v>270786.71611515287</v>
      </c>
      <c r="I302" s="4"/>
    </row>
    <row r="303" spans="2:9" ht="14.25" customHeight="1" x14ac:dyDescent="0.2">
      <c r="B303" s="51">
        <f t="shared" si="30"/>
        <v>293</v>
      </c>
      <c r="C303" s="9">
        <f t="shared" si="31"/>
        <v>270786.71611515287</v>
      </c>
      <c r="D303" s="9">
        <f t="shared" si="32"/>
        <v>2382.9231018133455</v>
      </c>
      <c r="E303" s="9">
        <f t="shared" si="33"/>
        <v>273169.63921696623</v>
      </c>
      <c r="F303" s="8">
        <f t="shared" si="34"/>
        <v>200</v>
      </c>
      <c r="G303" s="16"/>
      <c r="H303" s="8">
        <f t="shared" si="35"/>
        <v>273369.63921696623</v>
      </c>
      <c r="I303" s="4"/>
    </row>
    <row r="304" spans="2:9" ht="14.25" customHeight="1" x14ac:dyDescent="0.2">
      <c r="B304" s="51">
        <f t="shared" si="30"/>
        <v>294</v>
      </c>
      <c r="C304" s="9">
        <f t="shared" si="31"/>
        <v>273369.63921696623</v>
      </c>
      <c r="D304" s="9">
        <f t="shared" si="32"/>
        <v>2405.6528251093027</v>
      </c>
      <c r="E304" s="9">
        <f t="shared" si="33"/>
        <v>275775.29204207554</v>
      </c>
      <c r="F304" s="8">
        <f t="shared" si="34"/>
        <v>200</v>
      </c>
      <c r="G304" s="16"/>
      <c r="H304" s="8">
        <f t="shared" si="35"/>
        <v>275975.29204207554</v>
      </c>
      <c r="I304" s="4"/>
    </row>
    <row r="305" spans="2:9" ht="14.25" customHeight="1" x14ac:dyDescent="0.2">
      <c r="B305" s="50">
        <f t="shared" si="30"/>
        <v>295</v>
      </c>
      <c r="C305" s="8">
        <f t="shared" si="31"/>
        <v>275975.29204207554</v>
      </c>
      <c r="D305" s="8">
        <f t="shared" si="32"/>
        <v>2428.582569970265</v>
      </c>
      <c r="E305" s="8">
        <f t="shared" si="33"/>
        <v>278403.87461204582</v>
      </c>
      <c r="F305" s="8">
        <f t="shared" si="34"/>
        <v>200</v>
      </c>
      <c r="G305" s="16"/>
      <c r="H305" s="8">
        <f t="shared" si="35"/>
        <v>278603.87461204582</v>
      </c>
      <c r="I305" s="4"/>
    </row>
    <row r="306" spans="2:9" ht="14.25" customHeight="1" x14ac:dyDescent="0.2">
      <c r="B306" s="50">
        <f t="shared" si="30"/>
        <v>296</v>
      </c>
      <c r="C306" s="8">
        <f t="shared" si="31"/>
        <v>278603.87461204582</v>
      </c>
      <c r="D306" s="8">
        <f t="shared" si="32"/>
        <v>2451.7140965860035</v>
      </c>
      <c r="E306" s="8">
        <f t="shared" si="33"/>
        <v>281055.58870863181</v>
      </c>
      <c r="F306" s="8">
        <f t="shared" si="34"/>
        <v>200</v>
      </c>
      <c r="G306" s="16"/>
      <c r="H306" s="8">
        <f t="shared" si="35"/>
        <v>281255.58870863181</v>
      </c>
      <c r="I306" s="4"/>
    </row>
    <row r="307" spans="2:9" ht="14.25" customHeight="1" x14ac:dyDescent="0.2">
      <c r="B307" s="50">
        <f t="shared" si="30"/>
        <v>297</v>
      </c>
      <c r="C307" s="8">
        <f t="shared" si="31"/>
        <v>281255.58870863181</v>
      </c>
      <c r="D307" s="8">
        <f t="shared" si="32"/>
        <v>2475.0491806359601</v>
      </c>
      <c r="E307" s="8">
        <f t="shared" si="33"/>
        <v>283730.63788926776</v>
      </c>
      <c r="F307" s="8">
        <f t="shared" si="34"/>
        <v>200</v>
      </c>
      <c r="G307" s="16"/>
      <c r="H307" s="8">
        <f t="shared" si="35"/>
        <v>283930.63788926776</v>
      </c>
      <c r="I307" s="4"/>
    </row>
    <row r="308" spans="2:9" ht="14.25" customHeight="1" x14ac:dyDescent="0.2">
      <c r="B308" s="51">
        <f t="shared" si="30"/>
        <v>298</v>
      </c>
      <c r="C308" s="9">
        <f t="shared" si="31"/>
        <v>283930.63788926776</v>
      </c>
      <c r="D308" s="9">
        <f t="shared" si="32"/>
        <v>2498.5896134255563</v>
      </c>
      <c r="E308" s="9">
        <f t="shared" si="33"/>
        <v>286429.22750269331</v>
      </c>
      <c r="F308" s="8">
        <f t="shared" si="34"/>
        <v>200</v>
      </c>
      <c r="G308" s="16"/>
      <c r="H308" s="8">
        <f t="shared" si="35"/>
        <v>286629.22750269331</v>
      </c>
      <c r="I308" s="4"/>
    </row>
    <row r="309" spans="2:9" ht="14.25" customHeight="1" x14ac:dyDescent="0.2">
      <c r="B309" s="51">
        <f t="shared" si="30"/>
        <v>299</v>
      </c>
      <c r="C309" s="9">
        <f t="shared" si="31"/>
        <v>286629.22750269331</v>
      </c>
      <c r="D309" s="9">
        <f t="shared" si="32"/>
        <v>2522.3372020237011</v>
      </c>
      <c r="E309" s="9">
        <f t="shared" si="33"/>
        <v>289151.56470471702</v>
      </c>
      <c r="F309" s="8">
        <f t="shared" si="34"/>
        <v>200</v>
      </c>
      <c r="G309" s="16"/>
      <c r="H309" s="8">
        <f t="shared" si="35"/>
        <v>289351.56470471702</v>
      </c>
      <c r="I309" s="4"/>
    </row>
    <row r="310" spans="2:9" ht="14.25" customHeight="1" x14ac:dyDescent="0.2">
      <c r="B310" s="51">
        <f t="shared" si="30"/>
        <v>300</v>
      </c>
      <c r="C310" s="9">
        <f t="shared" si="31"/>
        <v>289351.56470471702</v>
      </c>
      <c r="D310" s="9">
        <f t="shared" si="32"/>
        <v>2546.29376940151</v>
      </c>
      <c r="E310" s="9">
        <f t="shared" si="33"/>
        <v>291897.85847411852</v>
      </c>
      <c r="F310" s="8">
        <f t="shared" si="34"/>
        <v>200</v>
      </c>
      <c r="G310" s="16"/>
      <c r="H310" s="8">
        <f t="shared" si="35"/>
        <v>292097.85847411852</v>
      </c>
      <c r="I310" s="4"/>
    </row>
    <row r="311" spans="2:9" ht="14.25" customHeight="1" x14ac:dyDescent="0.2">
      <c r="B311" s="50">
        <f t="shared" si="30"/>
        <v>301</v>
      </c>
      <c r="C311" s="8">
        <f t="shared" si="31"/>
        <v>292097.85847411852</v>
      </c>
      <c r="D311" s="8">
        <f t="shared" si="32"/>
        <v>2570.4611545722432</v>
      </c>
      <c r="E311" s="8">
        <f t="shared" si="33"/>
        <v>294668.31962869078</v>
      </c>
      <c r="F311" s="8">
        <f t="shared" si="34"/>
        <v>200</v>
      </c>
      <c r="G311" s="16"/>
      <c r="H311" s="8">
        <f t="shared" si="35"/>
        <v>294868.31962869078</v>
      </c>
      <c r="I311" s="4"/>
    </row>
    <row r="312" spans="2:9" ht="14.25" customHeight="1" x14ac:dyDescent="0.2">
      <c r="B312" s="50">
        <f t="shared" si="30"/>
        <v>302</v>
      </c>
      <c r="C312" s="8">
        <f t="shared" si="31"/>
        <v>294868.31962869078</v>
      </c>
      <c r="D312" s="8">
        <f t="shared" si="32"/>
        <v>2594.8412127324791</v>
      </c>
      <c r="E312" s="8">
        <f t="shared" si="33"/>
        <v>297463.16084142326</v>
      </c>
      <c r="F312" s="8">
        <f t="shared" si="34"/>
        <v>200</v>
      </c>
      <c r="G312" s="16"/>
      <c r="H312" s="8">
        <f t="shared" si="35"/>
        <v>297663.16084142326</v>
      </c>
      <c r="I312" s="4"/>
    </row>
    <row r="313" spans="2:9" ht="14.25" customHeight="1" x14ac:dyDescent="0.2">
      <c r="B313" s="50">
        <f t="shared" si="30"/>
        <v>303</v>
      </c>
      <c r="C313" s="8">
        <f t="shared" si="31"/>
        <v>297663.16084142326</v>
      </c>
      <c r="D313" s="8">
        <f t="shared" si="32"/>
        <v>2619.4358154045249</v>
      </c>
      <c r="E313" s="8">
        <f t="shared" si="33"/>
        <v>300282.59665682778</v>
      </c>
      <c r="F313" s="8">
        <f t="shared" si="34"/>
        <v>200</v>
      </c>
      <c r="G313" s="16"/>
      <c r="H313" s="8">
        <f t="shared" si="35"/>
        <v>300482.59665682778</v>
      </c>
      <c r="I313" s="4"/>
    </row>
    <row r="314" spans="2:9" ht="14.25" customHeight="1" x14ac:dyDescent="0.2">
      <c r="B314" s="51">
        <f t="shared" si="30"/>
        <v>304</v>
      </c>
      <c r="C314" s="9">
        <f t="shared" si="31"/>
        <v>300482.59665682778</v>
      </c>
      <c r="D314" s="9">
        <f t="shared" si="32"/>
        <v>2644.2468505800848</v>
      </c>
      <c r="E314" s="9">
        <f t="shared" si="33"/>
        <v>303126.84350740787</v>
      </c>
      <c r="F314" s="8">
        <f t="shared" si="34"/>
        <v>200</v>
      </c>
      <c r="G314" s="16"/>
      <c r="H314" s="8">
        <f t="shared" si="35"/>
        <v>303326.84350740787</v>
      </c>
      <c r="I314" s="4"/>
    </row>
    <row r="315" spans="2:9" ht="14.25" customHeight="1" x14ac:dyDescent="0.2">
      <c r="B315" s="51">
        <f t="shared" si="30"/>
        <v>305</v>
      </c>
      <c r="C315" s="9">
        <f t="shared" si="31"/>
        <v>303326.84350740787</v>
      </c>
      <c r="D315" s="9">
        <f t="shared" si="32"/>
        <v>2669.2762228651895</v>
      </c>
      <c r="E315" s="9">
        <f t="shared" si="33"/>
        <v>305996.11973027309</v>
      </c>
      <c r="F315" s="8">
        <f t="shared" si="34"/>
        <v>200</v>
      </c>
      <c r="G315" s="16"/>
      <c r="H315" s="8">
        <f t="shared" si="35"/>
        <v>306196.11973027309</v>
      </c>
      <c r="I315" s="4"/>
    </row>
    <row r="316" spans="2:9" ht="14.25" customHeight="1" x14ac:dyDescent="0.2">
      <c r="B316" s="51">
        <f t="shared" si="30"/>
        <v>306</v>
      </c>
      <c r="C316" s="9">
        <f t="shared" si="31"/>
        <v>306196.11973027309</v>
      </c>
      <c r="D316" s="9">
        <f t="shared" si="32"/>
        <v>2694.5258536264032</v>
      </c>
      <c r="E316" s="9">
        <f t="shared" si="33"/>
        <v>308890.64558389952</v>
      </c>
      <c r="F316" s="8">
        <f t="shared" si="34"/>
        <v>200</v>
      </c>
      <c r="G316" s="16"/>
      <c r="H316" s="8">
        <f t="shared" si="35"/>
        <v>309090.64558389952</v>
      </c>
      <c r="I316" s="4"/>
    </row>
    <row r="317" spans="2:9" ht="14.25" customHeight="1" x14ac:dyDescent="0.2">
      <c r="B317" s="50">
        <f t="shared" si="30"/>
        <v>307</v>
      </c>
      <c r="C317" s="8">
        <f t="shared" si="31"/>
        <v>309090.64558389952</v>
      </c>
      <c r="D317" s="8">
        <f t="shared" si="32"/>
        <v>2719.9976811383158</v>
      </c>
      <c r="E317" s="8">
        <f t="shared" si="33"/>
        <v>311810.64326503786</v>
      </c>
      <c r="F317" s="8">
        <f t="shared" si="34"/>
        <v>200</v>
      </c>
      <c r="G317" s="16"/>
      <c r="H317" s="8">
        <f t="shared" si="35"/>
        <v>312010.64326503786</v>
      </c>
      <c r="I317" s="4"/>
    </row>
    <row r="318" spans="2:9" ht="14.25" customHeight="1" x14ac:dyDescent="0.2">
      <c r="B318" s="50">
        <f t="shared" si="30"/>
        <v>308</v>
      </c>
      <c r="C318" s="8">
        <f t="shared" si="31"/>
        <v>312010.64326503786</v>
      </c>
      <c r="D318" s="8">
        <f t="shared" si="32"/>
        <v>2745.6936607323332</v>
      </c>
      <c r="E318" s="8">
        <f t="shared" si="33"/>
        <v>314756.33692577021</v>
      </c>
      <c r="F318" s="8">
        <f t="shared" si="34"/>
        <v>200</v>
      </c>
      <c r="G318" s="16"/>
      <c r="H318" s="8">
        <f t="shared" si="35"/>
        <v>314956.33692577021</v>
      </c>
      <c r="I318" s="4"/>
    </row>
    <row r="319" spans="2:9" ht="14.25" customHeight="1" x14ac:dyDescent="0.2">
      <c r="B319" s="50">
        <f t="shared" si="30"/>
        <v>309</v>
      </c>
      <c r="C319" s="8">
        <f t="shared" si="31"/>
        <v>314956.33692577021</v>
      </c>
      <c r="D319" s="8">
        <f t="shared" si="32"/>
        <v>2771.6157649467782</v>
      </c>
      <c r="E319" s="8">
        <f t="shared" si="33"/>
        <v>317727.95269071701</v>
      </c>
      <c r="F319" s="8">
        <f t="shared" si="34"/>
        <v>200</v>
      </c>
      <c r="G319" s="16"/>
      <c r="H319" s="8">
        <f t="shared" si="35"/>
        <v>317927.95269071701</v>
      </c>
      <c r="I319" s="4"/>
    </row>
    <row r="320" spans="2:9" ht="14.25" customHeight="1" x14ac:dyDescent="0.2">
      <c r="B320" s="51">
        <f t="shared" si="30"/>
        <v>310</v>
      </c>
      <c r="C320" s="9">
        <f t="shared" si="31"/>
        <v>317927.95269071701</v>
      </c>
      <c r="D320" s="9">
        <f t="shared" si="32"/>
        <v>2797.76598367831</v>
      </c>
      <c r="E320" s="9">
        <f t="shared" si="33"/>
        <v>320725.71867439529</v>
      </c>
      <c r="F320" s="8">
        <f t="shared" si="34"/>
        <v>200</v>
      </c>
      <c r="G320" s="16"/>
      <c r="H320" s="8">
        <f t="shared" si="35"/>
        <v>320925.71867439529</v>
      </c>
      <c r="I320" s="4"/>
    </row>
    <row r="321" spans="2:9" ht="14.25" customHeight="1" x14ac:dyDescent="0.2">
      <c r="B321" s="51">
        <f t="shared" si="30"/>
        <v>311</v>
      </c>
      <c r="C321" s="9">
        <f t="shared" si="31"/>
        <v>320925.71867439529</v>
      </c>
      <c r="D321" s="9">
        <f t="shared" si="32"/>
        <v>2824.1463243346789</v>
      </c>
      <c r="E321" s="9">
        <f t="shared" si="33"/>
        <v>323749.86499872996</v>
      </c>
      <c r="F321" s="8">
        <f t="shared" si="34"/>
        <v>200</v>
      </c>
      <c r="G321" s="16"/>
      <c r="H321" s="8">
        <f t="shared" si="35"/>
        <v>323949.86499872996</v>
      </c>
      <c r="I321" s="4"/>
    </row>
    <row r="322" spans="2:9" ht="14.25" customHeight="1" x14ac:dyDescent="0.2">
      <c r="B322" s="51">
        <f t="shared" si="30"/>
        <v>312</v>
      </c>
      <c r="C322" s="9">
        <f t="shared" si="31"/>
        <v>323949.86499872996</v>
      </c>
      <c r="D322" s="9">
        <f t="shared" si="32"/>
        <v>2850.7588119888237</v>
      </c>
      <c r="E322" s="9">
        <f t="shared" si="33"/>
        <v>326800.62381071877</v>
      </c>
      <c r="F322" s="8">
        <f t="shared" si="34"/>
        <v>200</v>
      </c>
      <c r="G322" s="16"/>
      <c r="H322" s="8">
        <f t="shared" si="35"/>
        <v>327000.62381071877</v>
      </c>
      <c r="I322" s="4"/>
    </row>
    <row r="323" spans="2:9" ht="14.25" customHeight="1" x14ac:dyDescent="0.2">
      <c r="B323" s="50">
        <f t="shared" si="30"/>
        <v>313</v>
      </c>
      <c r="C323" s="8">
        <f t="shared" si="31"/>
        <v>327000.62381071877</v>
      </c>
      <c r="D323" s="8">
        <f t="shared" si="32"/>
        <v>2877.6054895343254</v>
      </c>
      <c r="E323" s="8">
        <f t="shared" si="33"/>
        <v>329878.22930025309</v>
      </c>
      <c r="F323" s="8">
        <f t="shared" si="34"/>
        <v>200</v>
      </c>
      <c r="G323" s="16"/>
      <c r="H323" s="8">
        <f t="shared" si="35"/>
        <v>330078.22930025309</v>
      </c>
      <c r="I323" s="4"/>
    </row>
    <row r="324" spans="2:9" ht="14.25" customHeight="1" x14ac:dyDescent="0.2">
      <c r="B324" s="50">
        <f t="shared" si="30"/>
        <v>314</v>
      </c>
      <c r="C324" s="8">
        <f t="shared" si="31"/>
        <v>330078.22930025309</v>
      </c>
      <c r="D324" s="8">
        <f t="shared" si="32"/>
        <v>2904.6884178422274</v>
      </c>
      <c r="E324" s="8">
        <f t="shared" si="33"/>
        <v>332982.9177180953</v>
      </c>
      <c r="F324" s="8">
        <f t="shared" si="34"/>
        <v>200</v>
      </c>
      <c r="G324" s="16"/>
      <c r="H324" s="8">
        <f t="shared" si="35"/>
        <v>333182.9177180953</v>
      </c>
      <c r="I324" s="4"/>
    </row>
    <row r="325" spans="2:9" ht="14.25" customHeight="1" x14ac:dyDescent="0.2">
      <c r="B325" s="50">
        <f t="shared" si="30"/>
        <v>315</v>
      </c>
      <c r="C325" s="8">
        <f t="shared" si="31"/>
        <v>333182.9177180953</v>
      </c>
      <c r="D325" s="8">
        <f t="shared" si="32"/>
        <v>2932.0096759192388</v>
      </c>
      <c r="E325" s="8">
        <f t="shared" si="33"/>
        <v>336114.92739401455</v>
      </c>
      <c r="F325" s="8">
        <f t="shared" si="34"/>
        <v>200</v>
      </c>
      <c r="G325" s="16"/>
      <c r="H325" s="8">
        <f t="shared" si="35"/>
        <v>336314.92739401455</v>
      </c>
      <c r="I325" s="4"/>
    </row>
    <row r="326" spans="2:9" ht="14.25" customHeight="1" x14ac:dyDescent="0.2">
      <c r="B326" s="51">
        <f t="shared" si="30"/>
        <v>316</v>
      </c>
      <c r="C326" s="9">
        <f t="shared" si="31"/>
        <v>336314.92739401455</v>
      </c>
      <c r="D326" s="9">
        <f t="shared" si="32"/>
        <v>2959.5713610673283</v>
      </c>
      <c r="E326" s="9">
        <f t="shared" si="33"/>
        <v>339274.49875508191</v>
      </c>
      <c r="F326" s="8">
        <f t="shared" si="34"/>
        <v>200</v>
      </c>
      <c r="G326" s="16"/>
      <c r="H326" s="8">
        <f t="shared" si="35"/>
        <v>339474.49875508191</v>
      </c>
      <c r="I326" s="4"/>
    </row>
    <row r="327" spans="2:9" ht="14.25" customHeight="1" x14ac:dyDescent="0.2">
      <c r="B327" s="51">
        <f t="shared" si="30"/>
        <v>317</v>
      </c>
      <c r="C327" s="9">
        <f t="shared" si="31"/>
        <v>339474.49875508191</v>
      </c>
      <c r="D327" s="9">
        <f t="shared" si="32"/>
        <v>2987.375589044721</v>
      </c>
      <c r="E327" s="9">
        <f t="shared" si="33"/>
        <v>342461.87434412661</v>
      </c>
      <c r="F327" s="8">
        <f t="shared" si="34"/>
        <v>200</v>
      </c>
      <c r="G327" s="16"/>
      <c r="H327" s="8">
        <f t="shared" si="35"/>
        <v>342661.87434412661</v>
      </c>
      <c r="I327" s="4"/>
    </row>
    <row r="328" spans="2:9" ht="14.25" customHeight="1" x14ac:dyDescent="0.2">
      <c r="B328" s="51">
        <f t="shared" si="30"/>
        <v>318</v>
      </c>
      <c r="C328" s="9">
        <f t="shared" si="31"/>
        <v>342661.87434412661</v>
      </c>
      <c r="D328" s="9">
        <f t="shared" si="32"/>
        <v>3015.4244942283144</v>
      </c>
      <c r="E328" s="9">
        <f t="shared" si="33"/>
        <v>345677.29883835494</v>
      </c>
      <c r="F328" s="8">
        <f t="shared" si="34"/>
        <v>200</v>
      </c>
      <c r="G328" s="16"/>
      <c r="H328" s="8">
        <f t="shared" si="35"/>
        <v>345877.29883835494</v>
      </c>
      <c r="I328" s="4"/>
    </row>
    <row r="329" spans="2:9" ht="14.25" customHeight="1" x14ac:dyDescent="0.2">
      <c r="B329" s="50">
        <f t="shared" si="30"/>
        <v>319</v>
      </c>
      <c r="C329" s="8">
        <f t="shared" si="31"/>
        <v>345877.29883835494</v>
      </c>
      <c r="D329" s="8">
        <f t="shared" si="32"/>
        <v>3043.7202297775239</v>
      </c>
      <c r="E329" s="8">
        <f t="shared" si="33"/>
        <v>348921.01906813245</v>
      </c>
      <c r="F329" s="8">
        <f t="shared" si="34"/>
        <v>200</v>
      </c>
      <c r="G329" s="16"/>
      <c r="H329" s="8">
        <f t="shared" si="35"/>
        <v>349121.01906813245</v>
      </c>
      <c r="I329" s="4"/>
    </row>
    <row r="330" spans="2:9" ht="14.25" customHeight="1" x14ac:dyDescent="0.2">
      <c r="B330" s="50">
        <f t="shared" si="30"/>
        <v>320</v>
      </c>
      <c r="C330" s="8">
        <f t="shared" si="31"/>
        <v>349121.01906813245</v>
      </c>
      <c r="D330" s="8">
        <f t="shared" si="32"/>
        <v>3072.2649677995655</v>
      </c>
      <c r="E330" s="8">
        <f t="shared" si="33"/>
        <v>352193.28403593204</v>
      </c>
      <c r="F330" s="8">
        <f t="shared" si="34"/>
        <v>200</v>
      </c>
      <c r="G330" s="16"/>
      <c r="H330" s="8">
        <f t="shared" si="35"/>
        <v>352393.28403593204</v>
      </c>
      <c r="I330" s="4"/>
    </row>
    <row r="331" spans="2:9" ht="14.25" customHeight="1" x14ac:dyDescent="0.2">
      <c r="B331" s="50">
        <f t="shared" si="30"/>
        <v>321</v>
      </c>
      <c r="C331" s="8">
        <f t="shared" si="31"/>
        <v>352393.28403593204</v>
      </c>
      <c r="D331" s="8">
        <f t="shared" ref="D331:D370" si="36">IF(B331&gt;0,C331*$F$8,0)</f>
        <v>3101.060899516202</v>
      </c>
      <c r="E331" s="8">
        <f t="shared" si="33"/>
        <v>355494.34493544826</v>
      </c>
      <c r="F331" s="8">
        <f t="shared" ref="F331:F370" si="37">IF(B331&gt;0,$D$8,0)</f>
        <v>200</v>
      </c>
      <c r="G331" s="16"/>
      <c r="H331" s="8">
        <f t="shared" ref="H331:H370" si="38">IF(B331&gt;0,E331+F331+G331,0)</f>
        <v>355694.34493544826</v>
      </c>
      <c r="I331" s="4"/>
    </row>
    <row r="332" spans="2:9" ht="14.25" customHeight="1" x14ac:dyDescent="0.2">
      <c r="B332" s="51">
        <f t="shared" ref="B332:B370" si="39">IF(AND(B331&gt;0,B331&lt;E$8),B331+1,0)</f>
        <v>322</v>
      </c>
      <c r="C332" s="9">
        <f t="shared" ref="C332:C370" si="40">IF(B332&gt;0,H331,0)</f>
        <v>355694.34493544826</v>
      </c>
      <c r="D332" s="9">
        <f t="shared" si="36"/>
        <v>3130.1102354319451</v>
      </c>
      <c r="E332" s="9">
        <f t="shared" ref="E332:E370" si="41">IF(B332&gt;0,C332+D332,0)</f>
        <v>358824.45517088019</v>
      </c>
      <c r="F332" s="8">
        <f t="shared" si="37"/>
        <v>200</v>
      </c>
      <c r="G332" s="16"/>
      <c r="H332" s="8">
        <f t="shared" si="38"/>
        <v>359024.45517088019</v>
      </c>
      <c r="I332" s="4"/>
    </row>
    <row r="333" spans="2:9" ht="14.25" customHeight="1" x14ac:dyDescent="0.2">
      <c r="B333" s="51">
        <f t="shared" si="39"/>
        <v>323</v>
      </c>
      <c r="C333" s="9">
        <f t="shared" si="40"/>
        <v>359024.45517088019</v>
      </c>
      <c r="D333" s="9">
        <f t="shared" si="36"/>
        <v>3159.4152055037457</v>
      </c>
      <c r="E333" s="9">
        <f t="shared" si="41"/>
        <v>362183.87037638394</v>
      </c>
      <c r="F333" s="8">
        <f t="shared" si="37"/>
        <v>200</v>
      </c>
      <c r="G333" s="16"/>
      <c r="H333" s="8">
        <f t="shared" si="38"/>
        <v>362383.87037638394</v>
      </c>
      <c r="I333" s="4"/>
    </row>
    <row r="334" spans="2:9" ht="14.25" customHeight="1" x14ac:dyDescent="0.2">
      <c r="B334" s="51">
        <f t="shared" si="39"/>
        <v>324</v>
      </c>
      <c r="C334" s="9">
        <f t="shared" si="40"/>
        <v>362383.87037638394</v>
      </c>
      <c r="D334" s="9">
        <f t="shared" si="36"/>
        <v>3188.9780593121791</v>
      </c>
      <c r="E334" s="9">
        <f t="shared" si="41"/>
        <v>365572.8484356961</v>
      </c>
      <c r="F334" s="8">
        <f t="shared" si="37"/>
        <v>200</v>
      </c>
      <c r="G334" s="16"/>
      <c r="H334" s="8">
        <f t="shared" si="38"/>
        <v>365772.8484356961</v>
      </c>
      <c r="I334" s="4"/>
    </row>
    <row r="335" spans="2:9" ht="14.25" customHeight="1" x14ac:dyDescent="0.2">
      <c r="B335" s="50">
        <f t="shared" si="39"/>
        <v>325</v>
      </c>
      <c r="C335" s="8">
        <f t="shared" si="40"/>
        <v>365772.8484356961</v>
      </c>
      <c r="D335" s="8">
        <f t="shared" si="36"/>
        <v>3218.8010662341258</v>
      </c>
      <c r="E335" s="8">
        <f t="shared" si="41"/>
        <v>368991.64950193022</v>
      </c>
      <c r="F335" s="8">
        <f t="shared" si="37"/>
        <v>200</v>
      </c>
      <c r="G335" s="16"/>
      <c r="H335" s="8">
        <f t="shared" si="38"/>
        <v>369191.64950193022</v>
      </c>
      <c r="I335" s="4"/>
    </row>
    <row r="336" spans="2:9" ht="14.25" customHeight="1" x14ac:dyDescent="0.2">
      <c r="B336" s="50">
        <f t="shared" si="39"/>
        <v>326</v>
      </c>
      <c r="C336" s="8">
        <f t="shared" si="40"/>
        <v>369191.64950193022</v>
      </c>
      <c r="D336" s="8">
        <f t="shared" si="36"/>
        <v>3248.8865156169863</v>
      </c>
      <c r="E336" s="8">
        <f t="shared" si="41"/>
        <v>372440.53601754719</v>
      </c>
      <c r="F336" s="8">
        <f t="shared" si="37"/>
        <v>200</v>
      </c>
      <c r="G336" s="16"/>
      <c r="H336" s="8">
        <f t="shared" si="38"/>
        <v>372640.53601754719</v>
      </c>
      <c r="I336" s="4"/>
    </row>
    <row r="337" spans="2:9" ht="14.25" customHeight="1" x14ac:dyDescent="0.2">
      <c r="B337" s="50">
        <f t="shared" si="39"/>
        <v>327</v>
      </c>
      <c r="C337" s="8">
        <f t="shared" si="40"/>
        <v>372640.53601754719</v>
      </c>
      <c r="D337" s="8">
        <f t="shared" si="36"/>
        <v>3279.2367169544154</v>
      </c>
      <c r="E337" s="8">
        <f t="shared" si="41"/>
        <v>375919.77273450157</v>
      </c>
      <c r="F337" s="8">
        <f t="shared" si="37"/>
        <v>200</v>
      </c>
      <c r="G337" s="16"/>
      <c r="H337" s="8">
        <f t="shared" si="38"/>
        <v>376119.77273450157</v>
      </c>
      <c r="I337" s="4"/>
    </row>
    <row r="338" spans="2:9" ht="14.25" customHeight="1" x14ac:dyDescent="0.2">
      <c r="B338" s="51">
        <f t="shared" si="39"/>
        <v>328</v>
      </c>
      <c r="C338" s="9">
        <f t="shared" si="40"/>
        <v>376119.77273450157</v>
      </c>
      <c r="D338" s="9">
        <f t="shared" si="36"/>
        <v>3309.854000063614</v>
      </c>
      <c r="E338" s="9">
        <f t="shared" si="41"/>
        <v>379429.62673456519</v>
      </c>
      <c r="F338" s="8">
        <f t="shared" si="37"/>
        <v>200</v>
      </c>
      <c r="G338" s="16"/>
      <c r="H338" s="8">
        <f t="shared" si="38"/>
        <v>379629.62673456519</v>
      </c>
      <c r="I338" s="4"/>
    </row>
    <row r="339" spans="2:9" ht="14.25" customHeight="1" x14ac:dyDescent="0.2">
      <c r="B339" s="51">
        <f t="shared" si="39"/>
        <v>329</v>
      </c>
      <c r="C339" s="9">
        <f t="shared" si="40"/>
        <v>379629.62673456519</v>
      </c>
      <c r="D339" s="9">
        <f t="shared" si="36"/>
        <v>3340.740715264174</v>
      </c>
      <c r="E339" s="9">
        <f t="shared" si="41"/>
        <v>382970.36744982935</v>
      </c>
      <c r="F339" s="8">
        <f t="shared" si="37"/>
        <v>200</v>
      </c>
      <c r="G339" s="16"/>
      <c r="H339" s="8">
        <f t="shared" si="38"/>
        <v>383170.36744982935</v>
      </c>
      <c r="I339" s="4"/>
    </row>
    <row r="340" spans="2:9" ht="14.25" customHeight="1" x14ac:dyDescent="0.2">
      <c r="B340" s="51">
        <f t="shared" si="39"/>
        <v>330</v>
      </c>
      <c r="C340" s="9">
        <f t="shared" si="40"/>
        <v>383170.36744982935</v>
      </c>
      <c r="D340" s="9">
        <f t="shared" si="36"/>
        <v>3371.8992335584985</v>
      </c>
      <c r="E340" s="9">
        <f t="shared" si="41"/>
        <v>386542.26668338786</v>
      </c>
      <c r="F340" s="8">
        <f t="shared" si="37"/>
        <v>200</v>
      </c>
      <c r="G340" s="16"/>
      <c r="H340" s="8">
        <f t="shared" si="38"/>
        <v>386742.26668338786</v>
      </c>
      <c r="I340" s="4"/>
    </row>
    <row r="341" spans="2:9" ht="14.25" customHeight="1" x14ac:dyDescent="0.2">
      <c r="B341" s="50">
        <f t="shared" si="39"/>
        <v>331</v>
      </c>
      <c r="C341" s="8">
        <f t="shared" si="40"/>
        <v>386742.26668338786</v>
      </c>
      <c r="D341" s="8">
        <f t="shared" si="36"/>
        <v>3403.3319468138134</v>
      </c>
      <c r="E341" s="8">
        <f t="shared" si="41"/>
        <v>390145.59863020165</v>
      </c>
      <c r="F341" s="8">
        <f t="shared" si="37"/>
        <v>200</v>
      </c>
      <c r="G341" s="16"/>
      <c r="H341" s="8">
        <f t="shared" si="38"/>
        <v>390345.59863020165</v>
      </c>
      <c r="I341" s="4"/>
    </row>
    <row r="342" spans="2:9" ht="14.25" customHeight="1" x14ac:dyDescent="0.2">
      <c r="B342" s="50">
        <f t="shared" si="39"/>
        <v>332</v>
      </c>
      <c r="C342" s="8">
        <f t="shared" si="40"/>
        <v>390345.59863020165</v>
      </c>
      <c r="D342" s="8">
        <f t="shared" si="36"/>
        <v>3435.041267945775</v>
      </c>
      <c r="E342" s="8">
        <f t="shared" si="41"/>
        <v>393780.63989814743</v>
      </c>
      <c r="F342" s="8">
        <f t="shared" si="37"/>
        <v>200</v>
      </c>
      <c r="G342" s="16"/>
      <c r="H342" s="8">
        <f t="shared" si="38"/>
        <v>393980.63989814743</v>
      </c>
      <c r="I342" s="4"/>
    </row>
    <row r="343" spans="2:9" ht="14.25" customHeight="1" x14ac:dyDescent="0.2">
      <c r="B343" s="50">
        <f t="shared" si="39"/>
        <v>333</v>
      </c>
      <c r="C343" s="8">
        <f t="shared" si="40"/>
        <v>393980.63989814743</v>
      </c>
      <c r="D343" s="8">
        <f t="shared" si="36"/>
        <v>3467.0296311036977</v>
      </c>
      <c r="E343" s="8">
        <f t="shared" si="41"/>
        <v>397447.66952925111</v>
      </c>
      <c r="F343" s="8">
        <f t="shared" si="37"/>
        <v>200</v>
      </c>
      <c r="G343" s="16"/>
      <c r="H343" s="8">
        <f t="shared" si="38"/>
        <v>397647.66952925111</v>
      </c>
      <c r="I343" s="4"/>
    </row>
    <row r="344" spans="2:9" ht="14.25" customHeight="1" x14ac:dyDescent="0.2">
      <c r="B344" s="51">
        <f t="shared" si="39"/>
        <v>334</v>
      </c>
      <c r="C344" s="9">
        <f t="shared" si="40"/>
        <v>397647.66952925111</v>
      </c>
      <c r="D344" s="9">
        <f t="shared" si="36"/>
        <v>3499.29949185741</v>
      </c>
      <c r="E344" s="9">
        <f t="shared" si="41"/>
        <v>401146.96902110853</v>
      </c>
      <c r="F344" s="8">
        <f t="shared" si="37"/>
        <v>200</v>
      </c>
      <c r="G344" s="16"/>
      <c r="H344" s="8">
        <f t="shared" si="38"/>
        <v>401346.96902110853</v>
      </c>
      <c r="I344" s="4"/>
    </row>
    <row r="345" spans="2:9" ht="14.25" customHeight="1" x14ac:dyDescent="0.2">
      <c r="B345" s="51">
        <f t="shared" si="39"/>
        <v>335</v>
      </c>
      <c r="C345" s="9">
        <f t="shared" si="40"/>
        <v>401346.96902110853</v>
      </c>
      <c r="D345" s="9">
        <f t="shared" si="36"/>
        <v>3531.8533273857552</v>
      </c>
      <c r="E345" s="9">
        <f t="shared" si="41"/>
        <v>404878.82234849426</v>
      </c>
      <c r="F345" s="8">
        <f t="shared" si="37"/>
        <v>200</v>
      </c>
      <c r="G345" s="16"/>
      <c r="H345" s="8">
        <f t="shared" si="38"/>
        <v>405078.82234849426</v>
      </c>
      <c r="I345" s="4"/>
    </row>
    <row r="346" spans="2:9" ht="14.25" customHeight="1" x14ac:dyDescent="0.2">
      <c r="B346" s="51">
        <f t="shared" si="39"/>
        <v>336</v>
      </c>
      <c r="C346" s="9">
        <f t="shared" si="40"/>
        <v>405078.82234849426</v>
      </c>
      <c r="D346" s="9">
        <f t="shared" si="36"/>
        <v>3564.6936366667496</v>
      </c>
      <c r="E346" s="9">
        <f t="shared" si="41"/>
        <v>408643.51598516101</v>
      </c>
      <c r="F346" s="8">
        <f t="shared" si="37"/>
        <v>200</v>
      </c>
      <c r="G346" s="16"/>
      <c r="H346" s="8">
        <f t="shared" si="38"/>
        <v>408843.51598516101</v>
      </c>
      <c r="I346" s="4"/>
    </row>
    <row r="347" spans="2:9" ht="14.25" customHeight="1" x14ac:dyDescent="0.2">
      <c r="B347" s="50">
        <f t="shared" si="39"/>
        <v>337</v>
      </c>
      <c r="C347" s="8">
        <f t="shared" si="40"/>
        <v>408843.51598516101</v>
      </c>
      <c r="D347" s="8">
        <f t="shared" si="36"/>
        <v>3597.8229406694172</v>
      </c>
      <c r="E347" s="8">
        <f t="shared" si="41"/>
        <v>412441.33892583044</v>
      </c>
      <c r="F347" s="8">
        <f t="shared" si="37"/>
        <v>200</v>
      </c>
      <c r="G347" s="16"/>
      <c r="H347" s="8">
        <f t="shared" si="38"/>
        <v>412641.33892583044</v>
      </c>
      <c r="I347" s="4"/>
    </row>
    <row r="348" spans="2:9" ht="14.25" customHeight="1" x14ac:dyDescent="0.2">
      <c r="B348" s="50">
        <f t="shared" si="39"/>
        <v>338</v>
      </c>
      <c r="C348" s="8">
        <f t="shared" si="40"/>
        <v>412641.33892583044</v>
      </c>
      <c r="D348" s="8">
        <f t="shared" si="36"/>
        <v>3631.243782547308</v>
      </c>
      <c r="E348" s="8">
        <f t="shared" si="41"/>
        <v>416272.58270837774</v>
      </c>
      <c r="F348" s="8">
        <f t="shared" si="37"/>
        <v>200</v>
      </c>
      <c r="G348" s="16"/>
      <c r="H348" s="8">
        <f t="shared" si="38"/>
        <v>416472.58270837774</v>
      </c>
      <c r="I348" s="4"/>
    </row>
    <row r="349" spans="2:9" ht="14.25" customHeight="1" x14ac:dyDescent="0.2">
      <c r="B349" s="50">
        <f t="shared" si="39"/>
        <v>339</v>
      </c>
      <c r="C349" s="8">
        <f t="shared" si="40"/>
        <v>416472.58270837774</v>
      </c>
      <c r="D349" s="8">
        <f t="shared" si="36"/>
        <v>3664.9587278337244</v>
      </c>
      <c r="E349" s="8">
        <f t="shared" si="41"/>
        <v>420137.54143621144</v>
      </c>
      <c r="F349" s="8">
        <f t="shared" si="37"/>
        <v>200</v>
      </c>
      <c r="G349" s="16"/>
      <c r="H349" s="8">
        <f t="shared" si="38"/>
        <v>420337.54143621144</v>
      </c>
      <c r="I349" s="4"/>
    </row>
    <row r="350" spans="2:9" ht="14.25" customHeight="1" x14ac:dyDescent="0.2">
      <c r="B350" s="51">
        <f t="shared" si="39"/>
        <v>340</v>
      </c>
      <c r="C350" s="9">
        <f t="shared" si="40"/>
        <v>420337.54143621144</v>
      </c>
      <c r="D350" s="9">
        <f t="shared" si="36"/>
        <v>3698.9703646386611</v>
      </c>
      <c r="E350" s="9">
        <f t="shared" si="41"/>
        <v>424036.5118008501</v>
      </c>
      <c r="F350" s="8">
        <f t="shared" si="37"/>
        <v>200</v>
      </c>
      <c r="G350" s="16"/>
      <c r="H350" s="8">
        <f t="shared" si="38"/>
        <v>424236.5118008501</v>
      </c>
      <c r="I350" s="4"/>
    </row>
    <row r="351" spans="2:9" ht="14.25" customHeight="1" x14ac:dyDescent="0.2">
      <c r="B351" s="51">
        <f t="shared" si="39"/>
        <v>341</v>
      </c>
      <c r="C351" s="9">
        <f t="shared" si="40"/>
        <v>424236.5118008501</v>
      </c>
      <c r="D351" s="9">
        <f t="shared" si="36"/>
        <v>3733.281303847481</v>
      </c>
      <c r="E351" s="9">
        <f t="shared" si="41"/>
        <v>427969.7931046976</v>
      </c>
      <c r="F351" s="8">
        <f t="shared" si="37"/>
        <v>200</v>
      </c>
      <c r="G351" s="16"/>
      <c r="H351" s="8">
        <f t="shared" si="38"/>
        <v>428169.7931046976</v>
      </c>
      <c r="I351" s="4"/>
    </row>
    <row r="352" spans="2:9" ht="14.25" customHeight="1" x14ac:dyDescent="0.2">
      <c r="B352" s="51">
        <f t="shared" si="39"/>
        <v>342</v>
      </c>
      <c r="C352" s="9">
        <f t="shared" si="40"/>
        <v>428169.7931046976</v>
      </c>
      <c r="D352" s="9">
        <f t="shared" si="36"/>
        <v>3767.8941793213389</v>
      </c>
      <c r="E352" s="9">
        <f t="shared" si="41"/>
        <v>431937.68728401896</v>
      </c>
      <c r="F352" s="8">
        <f t="shared" si="37"/>
        <v>200</v>
      </c>
      <c r="G352" s="16"/>
      <c r="H352" s="8">
        <f t="shared" si="38"/>
        <v>432137.68728401896</v>
      </c>
      <c r="I352" s="4"/>
    </row>
    <row r="353" spans="2:9" ht="14.25" customHeight="1" x14ac:dyDescent="0.2">
      <c r="B353" s="50">
        <f t="shared" si="39"/>
        <v>343</v>
      </c>
      <c r="C353" s="8">
        <f t="shared" si="40"/>
        <v>432137.68728401896</v>
      </c>
      <c r="D353" s="8">
        <f t="shared" si="36"/>
        <v>3802.8116480993672</v>
      </c>
      <c r="E353" s="8">
        <f t="shared" si="41"/>
        <v>435940.49893211835</v>
      </c>
      <c r="F353" s="8">
        <f t="shared" si="37"/>
        <v>200</v>
      </c>
      <c r="G353" s="16"/>
      <c r="H353" s="8">
        <f t="shared" si="38"/>
        <v>436140.49893211835</v>
      </c>
      <c r="I353" s="4"/>
    </row>
    <row r="354" spans="2:9" ht="14.25" customHeight="1" x14ac:dyDescent="0.2">
      <c r="B354" s="50">
        <f t="shared" si="39"/>
        <v>344</v>
      </c>
      <c r="C354" s="8">
        <f t="shared" si="40"/>
        <v>436140.49893211835</v>
      </c>
      <c r="D354" s="8">
        <f t="shared" si="36"/>
        <v>3838.0363906026419</v>
      </c>
      <c r="E354" s="8">
        <f t="shared" si="41"/>
        <v>439978.535322721</v>
      </c>
      <c r="F354" s="8">
        <f t="shared" si="37"/>
        <v>200</v>
      </c>
      <c r="G354" s="16"/>
      <c r="H354" s="8">
        <f t="shared" si="38"/>
        <v>440178.535322721</v>
      </c>
      <c r="I354" s="4"/>
    </row>
    <row r="355" spans="2:9" ht="14.25" customHeight="1" x14ac:dyDescent="0.2">
      <c r="B355" s="50">
        <f t="shared" si="39"/>
        <v>345</v>
      </c>
      <c r="C355" s="8">
        <f t="shared" si="40"/>
        <v>440178.535322721</v>
      </c>
      <c r="D355" s="8">
        <f t="shared" si="36"/>
        <v>3873.571110839945</v>
      </c>
      <c r="E355" s="8">
        <f t="shared" si="41"/>
        <v>444052.10643356096</v>
      </c>
      <c r="F355" s="8">
        <f t="shared" si="37"/>
        <v>200</v>
      </c>
      <c r="G355" s="16"/>
      <c r="H355" s="8">
        <f t="shared" si="38"/>
        <v>444252.10643356096</v>
      </c>
      <c r="I355" s="4"/>
    </row>
    <row r="356" spans="2:9" ht="14.25" customHeight="1" x14ac:dyDescent="0.2">
      <c r="B356" s="51">
        <f t="shared" si="39"/>
        <v>346</v>
      </c>
      <c r="C356" s="9">
        <f t="shared" si="40"/>
        <v>444252.10643356096</v>
      </c>
      <c r="D356" s="9">
        <f t="shared" si="36"/>
        <v>3909.4185366153365</v>
      </c>
      <c r="E356" s="9">
        <f t="shared" si="41"/>
        <v>448161.52497017628</v>
      </c>
      <c r="F356" s="8">
        <f t="shared" si="37"/>
        <v>200</v>
      </c>
      <c r="G356" s="16"/>
      <c r="H356" s="8">
        <f t="shared" si="38"/>
        <v>448361.52497017628</v>
      </c>
      <c r="I356" s="4"/>
    </row>
    <row r="357" spans="2:9" ht="14.25" customHeight="1" x14ac:dyDescent="0.2">
      <c r="B357" s="51">
        <f t="shared" si="39"/>
        <v>347</v>
      </c>
      <c r="C357" s="9">
        <f t="shared" si="40"/>
        <v>448361.52497017628</v>
      </c>
      <c r="D357" s="9">
        <f t="shared" si="36"/>
        <v>3945.5814197375516</v>
      </c>
      <c r="E357" s="9">
        <f t="shared" si="41"/>
        <v>452307.10638991382</v>
      </c>
      <c r="F357" s="8">
        <f t="shared" si="37"/>
        <v>200</v>
      </c>
      <c r="G357" s="16"/>
      <c r="H357" s="8">
        <f t="shared" si="38"/>
        <v>452507.10638991382</v>
      </c>
      <c r="I357" s="4"/>
    </row>
    <row r="358" spans="2:9" ht="14.25" customHeight="1" x14ac:dyDescent="0.2">
      <c r="B358" s="51">
        <f t="shared" si="39"/>
        <v>348</v>
      </c>
      <c r="C358" s="9">
        <f t="shared" si="40"/>
        <v>452507.10638991382</v>
      </c>
      <c r="D358" s="9">
        <f t="shared" si="36"/>
        <v>3982.0625362312421</v>
      </c>
      <c r="E358" s="9">
        <f t="shared" si="41"/>
        <v>456489.16892614507</v>
      </c>
      <c r="F358" s="8">
        <f t="shared" si="37"/>
        <v>200</v>
      </c>
      <c r="G358" s="16"/>
      <c r="H358" s="8">
        <f t="shared" si="38"/>
        <v>456689.16892614507</v>
      </c>
      <c r="I358" s="4"/>
    </row>
    <row r="359" spans="2:9" ht="14.25" customHeight="1" x14ac:dyDescent="0.2">
      <c r="B359" s="50">
        <f t="shared" si="39"/>
        <v>349</v>
      </c>
      <c r="C359" s="8">
        <f t="shared" si="40"/>
        <v>456689.16892614507</v>
      </c>
      <c r="D359" s="9">
        <f t="shared" si="36"/>
        <v>4018.8646865500768</v>
      </c>
      <c r="E359" s="9">
        <f t="shared" si="41"/>
        <v>460708.03361269512</v>
      </c>
      <c r="F359" s="8">
        <f t="shared" si="37"/>
        <v>200</v>
      </c>
      <c r="G359" s="16"/>
      <c r="H359" s="8">
        <f t="shared" si="38"/>
        <v>460908.03361269512</v>
      </c>
      <c r="I359" s="4"/>
    </row>
    <row r="360" spans="2:9" ht="14.25" customHeight="1" x14ac:dyDescent="0.2">
      <c r="B360" s="50">
        <f t="shared" si="39"/>
        <v>350</v>
      </c>
      <c r="C360" s="8">
        <f t="shared" si="40"/>
        <v>460908.03361269512</v>
      </c>
      <c r="D360" s="9">
        <f t="shared" si="36"/>
        <v>4055.9906957917174</v>
      </c>
      <c r="E360" s="9">
        <f t="shared" si="41"/>
        <v>464964.02430848684</v>
      </c>
      <c r="F360" s="8">
        <f t="shared" si="37"/>
        <v>200</v>
      </c>
      <c r="G360" s="16"/>
      <c r="H360" s="8">
        <f t="shared" si="38"/>
        <v>465164.02430848684</v>
      </c>
      <c r="I360" s="4"/>
    </row>
    <row r="361" spans="2:9" ht="14.25" customHeight="1" x14ac:dyDescent="0.2">
      <c r="B361" s="50">
        <f t="shared" si="39"/>
        <v>351</v>
      </c>
      <c r="C361" s="8">
        <f t="shared" si="40"/>
        <v>465164.02430848684</v>
      </c>
      <c r="D361" s="9">
        <f t="shared" si="36"/>
        <v>4093.4434139146842</v>
      </c>
      <c r="E361" s="9">
        <f t="shared" si="41"/>
        <v>469257.46772240155</v>
      </c>
      <c r="F361" s="8">
        <f t="shared" si="37"/>
        <v>200</v>
      </c>
      <c r="G361" s="16"/>
      <c r="H361" s="8">
        <f t="shared" si="38"/>
        <v>469457.46772240155</v>
      </c>
      <c r="I361" s="4"/>
    </row>
    <row r="362" spans="2:9" ht="14.25" customHeight="1" x14ac:dyDescent="0.2">
      <c r="B362" s="51">
        <f t="shared" si="39"/>
        <v>352</v>
      </c>
      <c r="C362" s="8">
        <f t="shared" si="40"/>
        <v>469457.46772240155</v>
      </c>
      <c r="D362" s="9">
        <f t="shared" si="36"/>
        <v>4131.2257159571336</v>
      </c>
      <c r="E362" s="9">
        <f t="shared" si="41"/>
        <v>473588.69343835866</v>
      </c>
      <c r="F362" s="8">
        <f t="shared" si="37"/>
        <v>200</v>
      </c>
      <c r="G362" s="16"/>
      <c r="H362" s="8">
        <f t="shared" si="38"/>
        <v>473788.69343835866</v>
      </c>
      <c r="I362" s="4"/>
    </row>
    <row r="363" spans="2:9" ht="14.25" customHeight="1" x14ac:dyDescent="0.2">
      <c r="B363" s="51">
        <f t="shared" si="39"/>
        <v>353</v>
      </c>
      <c r="C363" s="8">
        <f t="shared" si="40"/>
        <v>473788.69343835866</v>
      </c>
      <c r="D363" s="9">
        <f t="shared" si="36"/>
        <v>4169.3405022575562</v>
      </c>
      <c r="E363" s="9">
        <f t="shared" si="41"/>
        <v>477958.03394061624</v>
      </c>
      <c r="F363" s="8">
        <f t="shared" si="37"/>
        <v>200</v>
      </c>
      <c r="G363" s="16"/>
      <c r="H363" s="8">
        <f t="shared" si="38"/>
        <v>478158.03394061624</v>
      </c>
      <c r="I363" s="4"/>
    </row>
    <row r="364" spans="2:9" ht="14.25" customHeight="1" x14ac:dyDescent="0.2">
      <c r="B364" s="51">
        <f t="shared" si="39"/>
        <v>354</v>
      </c>
      <c r="C364" s="8">
        <f t="shared" si="40"/>
        <v>478158.03394061624</v>
      </c>
      <c r="D364" s="9">
        <f t="shared" si="36"/>
        <v>4207.7906986774233</v>
      </c>
      <c r="E364" s="9">
        <f t="shared" si="41"/>
        <v>482365.82463929366</v>
      </c>
      <c r="F364" s="8">
        <f t="shared" si="37"/>
        <v>200</v>
      </c>
      <c r="G364" s="16"/>
      <c r="H364" s="8">
        <f t="shared" si="38"/>
        <v>482565.82463929366</v>
      </c>
      <c r="I364" s="4"/>
    </row>
    <row r="365" spans="2:9" ht="14.25" customHeight="1" x14ac:dyDescent="0.2">
      <c r="B365" s="50">
        <f t="shared" si="39"/>
        <v>355</v>
      </c>
      <c r="C365" s="8">
        <f t="shared" si="40"/>
        <v>482565.82463929366</v>
      </c>
      <c r="D365" s="9">
        <f t="shared" si="36"/>
        <v>4246.5792568257848</v>
      </c>
      <c r="E365" s="9">
        <f t="shared" si="41"/>
        <v>486812.40389611945</v>
      </c>
      <c r="F365" s="8">
        <f t="shared" si="37"/>
        <v>200</v>
      </c>
      <c r="G365" s="16"/>
      <c r="H365" s="8">
        <f t="shared" si="38"/>
        <v>487012.40389611945</v>
      </c>
      <c r="I365" s="4"/>
    </row>
    <row r="366" spans="2:9" ht="14.25" customHeight="1" x14ac:dyDescent="0.2">
      <c r="B366" s="50">
        <f t="shared" si="39"/>
        <v>356</v>
      </c>
      <c r="C366" s="8">
        <f t="shared" si="40"/>
        <v>487012.40389611945</v>
      </c>
      <c r="D366" s="9">
        <f t="shared" si="36"/>
        <v>4285.7091542858516</v>
      </c>
      <c r="E366" s="9">
        <f t="shared" si="41"/>
        <v>491298.11305040529</v>
      </c>
      <c r="F366" s="8">
        <f t="shared" si="37"/>
        <v>200</v>
      </c>
      <c r="G366" s="16"/>
      <c r="H366" s="8">
        <f t="shared" si="38"/>
        <v>491498.11305040529</v>
      </c>
      <c r="I366" s="4"/>
    </row>
    <row r="367" spans="2:9" ht="14.25" customHeight="1" x14ac:dyDescent="0.2">
      <c r="B367" s="50">
        <f t="shared" si="39"/>
        <v>357</v>
      </c>
      <c r="C367" s="8">
        <f t="shared" si="40"/>
        <v>491498.11305040529</v>
      </c>
      <c r="D367" s="9">
        <f t="shared" si="36"/>
        <v>4325.1833948435669</v>
      </c>
      <c r="E367" s="9">
        <f t="shared" si="41"/>
        <v>495823.29644524888</v>
      </c>
      <c r="F367" s="8">
        <f t="shared" si="37"/>
        <v>200</v>
      </c>
      <c r="G367" s="16"/>
      <c r="H367" s="8">
        <f t="shared" si="38"/>
        <v>496023.29644524888</v>
      </c>
      <c r="I367" s="4"/>
    </row>
    <row r="368" spans="2:9" ht="14.25" customHeight="1" x14ac:dyDescent="0.2">
      <c r="B368" s="51">
        <f t="shared" si="39"/>
        <v>358</v>
      </c>
      <c r="C368" s="8">
        <f t="shared" si="40"/>
        <v>496023.29644524888</v>
      </c>
      <c r="D368" s="9">
        <f t="shared" si="36"/>
        <v>4365.0050087181908</v>
      </c>
      <c r="E368" s="9">
        <f t="shared" si="41"/>
        <v>500388.30145396705</v>
      </c>
      <c r="F368" s="8">
        <f t="shared" si="37"/>
        <v>200</v>
      </c>
      <c r="G368" s="16"/>
      <c r="H368" s="8">
        <f t="shared" si="38"/>
        <v>500588.30145396705</v>
      </c>
      <c r="I368" s="4"/>
    </row>
    <row r="369" spans="2:9" ht="14.25" customHeight="1" x14ac:dyDescent="0.2">
      <c r="B369" s="51">
        <f t="shared" si="39"/>
        <v>359</v>
      </c>
      <c r="C369" s="8">
        <f t="shared" si="40"/>
        <v>500588.30145396705</v>
      </c>
      <c r="D369" s="9">
        <f t="shared" si="36"/>
        <v>4405.1770527949102</v>
      </c>
      <c r="E369" s="9">
        <f t="shared" si="41"/>
        <v>504993.47850676195</v>
      </c>
      <c r="F369" s="8">
        <f t="shared" si="37"/>
        <v>200</v>
      </c>
      <c r="G369" s="16"/>
      <c r="H369" s="8">
        <f t="shared" si="38"/>
        <v>505193.47850676195</v>
      </c>
      <c r="I369" s="4"/>
    </row>
    <row r="370" spans="2:9" ht="14.25" customHeight="1" x14ac:dyDescent="0.2">
      <c r="B370" s="51">
        <f t="shared" si="39"/>
        <v>360</v>
      </c>
      <c r="C370" s="8">
        <f t="shared" si="40"/>
        <v>505193.47850676195</v>
      </c>
      <c r="D370" s="9">
        <f t="shared" si="36"/>
        <v>4445.7026108595055</v>
      </c>
      <c r="E370" s="9">
        <f t="shared" si="41"/>
        <v>509639.18111762148</v>
      </c>
      <c r="F370" s="8">
        <f t="shared" si="37"/>
        <v>200</v>
      </c>
      <c r="G370" s="16"/>
      <c r="H370" s="8">
        <f t="shared" si="38"/>
        <v>509839.18111762148</v>
      </c>
      <c r="I370" s="4"/>
    </row>
    <row r="371" spans="2:9" ht="14.25" customHeight="1" x14ac:dyDescent="0.2">
      <c r="B371" s="51">
        <f t="shared" ref="B371:B434" si="42">IF(AND(B370&gt;0,B370&lt;E$8),B370+1,0)</f>
        <v>361</v>
      </c>
      <c r="C371" s="8">
        <f t="shared" ref="C371:C434" si="43">IF(B371&gt;0,H370,0)</f>
        <v>509839.18111762148</v>
      </c>
      <c r="D371" s="9">
        <f t="shared" ref="D371:D434" si="44">IF(B371&gt;0,C371*$F$8,0)</f>
        <v>4486.5847938350689</v>
      </c>
      <c r="E371" s="9">
        <f t="shared" ref="E371:E434" si="45">IF(B371&gt;0,C371+D371,0)</f>
        <v>514325.76591145655</v>
      </c>
      <c r="F371" s="8">
        <f t="shared" ref="F371:F434" si="46">IF(B371&gt;0,$D$8,0)</f>
        <v>200</v>
      </c>
      <c r="G371" s="16"/>
      <c r="H371" s="8">
        <f t="shared" ref="H371:H434" si="47">IF(B371&gt;0,E371+F371+G371,0)</f>
        <v>514525.76591145655</v>
      </c>
      <c r="I371" s="4"/>
    </row>
    <row r="372" spans="2:9" x14ac:dyDescent="0.2">
      <c r="B372" s="51">
        <f t="shared" si="42"/>
        <v>362</v>
      </c>
      <c r="C372" s="8">
        <f t="shared" si="43"/>
        <v>514525.76591145655</v>
      </c>
      <c r="D372" s="9">
        <f t="shared" si="44"/>
        <v>4527.8267400208179</v>
      </c>
      <c r="E372" s="9">
        <f t="shared" si="45"/>
        <v>519053.59265147737</v>
      </c>
      <c r="F372" s="8">
        <f t="shared" si="46"/>
        <v>200</v>
      </c>
      <c r="G372" s="16"/>
      <c r="H372" s="8">
        <f t="shared" si="47"/>
        <v>519253.59265147737</v>
      </c>
      <c r="I372" s="4"/>
    </row>
    <row r="373" spans="2:9" x14ac:dyDescent="0.2">
      <c r="B373" s="51">
        <f t="shared" si="42"/>
        <v>363</v>
      </c>
      <c r="C373" s="8">
        <f t="shared" si="43"/>
        <v>519253.59265147737</v>
      </c>
      <c r="D373" s="9">
        <f t="shared" si="44"/>
        <v>4569.431615333001</v>
      </c>
      <c r="E373" s="9">
        <f t="shared" si="45"/>
        <v>523823.02426681039</v>
      </c>
      <c r="F373" s="8">
        <f t="shared" si="46"/>
        <v>200</v>
      </c>
      <c r="G373" s="16"/>
      <c r="H373" s="8">
        <f t="shared" si="47"/>
        <v>524023.02426681039</v>
      </c>
    </row>
    <row r="374" spans="2:9" x14ac:dyDescent="0.2">
      <c r="B374" s="51">
        <f t="shared" si="42"/>
        <v>364</v>
      </c>
      <c r="C374" s="8">
        <f t="shared" si="43"/>
        <v>524023.02426681039</v>
      </c>
      <c r="D374" s="9">
        <f t="shared" si="44"/>
        <v>4611.4026135479317</v>
      </c>
      <c r="E374" s="9">
        <f t="shared" si="45"/>
        <v>528634.42688035837</v>
      </c>
      <c r="F374" s="8">
        <f t="shared" si="46"/>
        <v>200</v>
      </c>
      <c r="G374" s="16"/>
      <c r="H374" s="8">
        <f t="shared" si="47"/>
        <v>528834.42688035837</v>
      </c>
    </row>
    <row r="375" spans="2:9" x14ac:dyDescent="0.2">
      <c r="B375" s="51">
        <f t="shared" si="42"/>
        <v>365</v>
      </c>
      <c r="C375" s="8">
        <f t="shared" si="43"/>
        <v>528834.42688035837</v>
      </c>
      <c r="D375" s="9">
        <f t="shared" si="44"/>
        <v>4653.7429565471539</v>
      </c>
      <c r="E375" s="9">
        <f t="shared" si="45"/>
        <v>533488.16983690555</v>
      </c>
      <c r="F375" s="8">
        <f t="shared" si="46"/>
        <v>200</v>
      </c>
      <c r="G375" s="16"/>
      <c r="H375" s="8">
        <f t="shared" si="47"/>
        <v>533688.16983690555</v>
      </c>
    </row>
    <row r="376" spans="2:9" x14ac:dyDescent="0.2">
      <c r="B376" s="51">
        <f t="shared" si="42"/>
        <v>366</v>
      </c>
      <c r="C376" s="8">
        <f t="shared" si="43"/>
        <v>533688.16983690555</v>
      </c>
      <c r="D376" s="9">
        <f t="shared" si="44"/>
        <v>4696.4558945647696</v>
      </c>
      <c r="E376" s="9">
        <f t="shared" si="45"/>
        <v>538384.6257314703</v>
      </c>
      <c r="F376" s="8">
        <f t="shared" si="46"/>
        <v>200</v>
      </c>
      <c r="G376" s="16"/>
      <c r="H376" s="8">
        <f t="shared" si="47"/>
        <v>538584.6257314703</v>
      </c>
    </row>
    <row r="377" spans="2:9" x14ac:dyDescent="0.2">
      <c r="B377" s="51">
        <f t="shared" si="42"/>
        <v>367</v>
      </c>
      <c r="C377" s="8">
        <f t="shared" si="43"/>
        <v>538584.6257314703</v>
      </c>
      <c r="D377" s="9">
        <f t="shared" si="44"/>
        <v>4739.5447064369391</v>
      </c>
      <c r="E377" s="9">
        <f t="shared" si="45"/>
        <v>543324.17043790722</v>
      </c>
      <c r="F377" s="8">
        <f t="shared" si="46"/>
        <v>200</v>
      </c>
      <c r="G377" s="16"/>
      <c r="H377" s="8">
        <f t="shared" si="47"/>
        <v>543524.17043790722</v>
      </c>
    </row>
    <row r="378" spans="2:9" x14ac:dyDescent="0.2">
      <c r="B378" s="51">
        <f t="shared" si="42"/>
        <v>368</v>
      </c>
      <c r="C378" s="8">
        <f t="shared" si="43"/>
        <v>543524.17043790722</v>
      </c>
      <c r="D378" s="9">
        <f t="shared" si="44"/>
        <v>4783.0126998535834</v>
      </c>
      <c r="E378" s="9">
        <f t="shared" si="45"/>
        <v>548307.18313776085</v>
      </c>
      <c r="F378" s="8">
        <f t="shared" si="46"/>
        <v>200</v>
      </c>
      <c r="G378" s="16"/>
      <c r="H378" s="8">
        <f t="shared" si="47"/>
        <v>548507.18313776085</v>
      </c>
    </row>
    <row r="379" spans="2:9" x14ac:dyDescent="0.2">
      <c r="B379" s="51">
        <f t="shared" si="42"/>
        <v>369</v>
      </c>
      <c r="C379" s="8">
        <f t="shared" si="43"/>
        <v>548507.18313776085</v>
      </c>
      <c r="D379" s="9">
        <f t="shared" si="44"/>
        <v>4826.8632116122953</v>
      </c>
      <c r="E379" s="9">
        <f t="shared" si="45"/>
        <v>553334.04634937318</v>
      </c>
      <c r="F379" s="8">
        <f t="shared" si="46"/>
        <v>200</v>
      </c>
      <c r="G379" s="16"/>
      <c r="H379" s="8">
        <f t="shared" si="47"/>
        <v>553534.04634937318</v>
      </c>
    </row>
    <row r="380" spans="2:9" x14ac:dyDescent="0.2">
      <c r="B380" s="51">
        <f t="shared" si="42"/>
        <v>370</v>
      </c>
      <c r="C380" s="8">
        <f t="shared" si="43"/>
        <v>553534.04634937318</v>
      </c>
      <c r="D380" s="9">
        <f t="shared" si="44"/>
        <v>4871.0996078744847</v>
      </c>
      <c r="E380" s="9">
        <f t="shared" si="45"/>
        <v>558405.1459572477</v>
      </c>
      <c r="F380" s="8">
        <f t="shared" si="46"/>
        <v>200</v>
      </c>
      <c r="G380" s="16"/>
      <c r="H380" s="8">
        <f t="shared" si="47"/>
        <v>558605.1459572477</v>
      </c>
    </row>
    <row r="381" spans="2:9" x14ac:dyDescent="0.2">
      <c r="B381" s="51">
        <f t="shared" si="42"/>
        <v>371</v>
      </c>
      <c r="C381" s="8">
        <f t="shared" si="43"/>
        <v>558605.1459572477</v>
      </c>
      <c r="D381" s="9">
        <f t="shared" si="44"/>
        <v>4915.7252844237801</v>
      </c>
      <c r="E381" s="9">
        <f t="shared" si="45"/>
        <v>563520.8712416715</v>
      </c>
      <c r="F381" s="8">
        <f t="shared" si="46"/>
        <v>200</v>
      </c>
      <c r="G381" s="16"/>
      <c r="H381" s="8">
        <f t="shared" si="47"/>
        <v>563720.8712416715</v>
      </c>
    </row>
    <row r="382" spans="2:9" x14ac:dyDescent="0.2">
      <c r="B382" s="51">
        <f t="shared" si="42"/>
        <v>372</v>
      </c>
      <c r="C382" s="8">
        <f t="shared" si="43"/>
        <v>563720.8712416715</v>
      </c>
      <c r="D382" s="9">
        <f t="shared" si="44"/>
        <v>4960.7436669267099</v>
      </c>
      <c r="E382" s="9">
        <f t="shared" si="45"/>
        <v>568681.61490859825</v>
      </c>
      <c r="F382" s="8">
        <f t="shared" si="46"/>
        <v>200</v>
      </c>
      <c r="G382" s="16"/>
      <c r="H382" s="8">
        <f t="shared" si="47"/>
        <v>568881.61490859825</v>
      </c>
    </row>
    <row r="383" spans="2:9" x14ac:dyDescent="0.2">
      <c r="B383" s="51">
        <f t="shared" si="42"/>
        <v>373</v>
      </c>
      <c r="C383" s="8">
        <f t="shared" si="43"/>
        <v>568881.61490859825</v>
      </c>
      <c r="D383" s="9">
        <f t="shared" si="44"/>
        <v>5006.158211195665</v>
      </c>
      <c r="E383" s="9">
        <f t="shared" si="45"/>
        <v>573887.77311979386</v>
      </c>
      <c r="F383" s="8">
        <f t="shared" si="46"/>
        <v>200</v>
      </c>
      <c r="G383" s="16"/>
      <c r="H383" s="8">
        <f t="shared" si="47"/>
        <v>574087.77311979386</v>
      </c>
    </row>
    <row r="384" spans="2:9" x14ac:dyDescent="0.2">
      <c r="B384" s="51">
        <f t="shared" si="42"/>
        <v>374</v>
      </c>
      <c r="C384" s="8">
        <f t="shared" si="43"/>
        <v>574087.77311979386</v>
      </c>
      <c r="D384" s="9">
        <f t="shared" si="44"/>
        <v>5051.972403454186</v>
      </c>
      <c r="E384" s="9">
        <f t="shared" si="45"/>
        <v>579139.74552324798</v>
      </c>
      <c r="F384" s="8">
        <f t="shared" si="46"/>
        <v>200</v>
      </c>
      <c r="G384" s="16"/>
      <c r="H384" s="8">
        <f t="shared" si="47"/>
        <v>579339.74552324798</v>
      </c>
    </row>
    <row r="385" spans="2:8" x14ac:dyDescent="0.2">
      <c r="B385" s="51">
        <f t="shared" si="42"/>
        <v>375</v>
      </c>
      <c r="C385" s="8">
        <f t="shared" si="43"/>
        <v>579339.74552324798</v>
      </c>
      <c r="D385" s="9">
        <f t="shared" si="44"/>
        <v>5098.1897606045823</v>
      </c>
      <c r="E385" s="9">
        <f t="shared" si="45"/>
        <v>584437.93528385251</v>
      </c>
      <c r="F385" s="8">
        <f t="shared" si="46"/>
        <v>200</v>
      </c>
      <c r="G385" s="16"/>
      <c r="H385" s="8">
        <f t="shared" si="47"/>
        <v>584637.93528385251</v>
      </c>
    </row>
    <row r="386" spans="2:8" x14ac:dyDescent="0.2">
      <c r="B386" s="51">
        <f t="shared" si="42"/>
        <v>376</v>
      </c>
      <c r="C386" s="8">
        <f t="shared" si="43"/>
        <v>584637.93528385251</v>
      </c>
      <c r="D386" s="9">
        <f t="shared" si="44"/>
        <v>5144.813830497902</v>
      </c>
      <c r="E386" s="9">
        <f t="shared" si="45"/>
        <v>589782.74911435042</v>
      </c>
      <c r="F386" s="8">
        <f t="shared" si="46"/>
        <v>200</v>
      </c>
      <c r="G386" s="16"/>
      <c r="H386" s="8">
        <f t="shared" si="47"/>
        <v>589982.74911435042</v>
      </c>
    </row>
    <row r="387" spans="2:8" x14ac:dyDescent="0.2">
      <c r="B387" s="51">
        <f t="shared" si="42"/>
        <v>377</v>
      </c>
      <c r="C387" s="8">
        <f t="shared" si="43"/>
        <v>589982.74911435042</v>
      </c>
      <c r="D387" s="9">
        <f t="shared" si="44"/>
        <v>5191.8481922062838</v>
      </c>
      <c r="E387" s="9">
        <f t="shared" si="45"/>
        <v>595174.59730655665</v>
      </c>
      <c r="F387" s="8">
        <f t="shared" si="46"/>
        <v>200</v>
      </c>
      <c r="G387" s="16"/>
      <c r="H387" s="8">
        <f t="shared" si="47"/>
        <v>595374.59730655665</v>
      </c>
    </row>
    <row r="388" spans="2:8" x14ac:dyDescent="0.2">
      <c r="B388" s="51">
        <f t="shared" si="42"/>
        <v>378</v>
      </c>
      <c r="C388" s="8">
        <f t="shared" si="43"/>
        <v>595374.59730655665</v>
      </c>
      <c r="D388" s="9">
        <f t="shared" si="44"/>
        <v>5239.2964562976986</v>
      </c>
      <c r="E388" s="9">
        <f t="shared" si="45"/>
        <v>600613.89376285439</v>
      </c>
      <c r="F388" s="8">
        <f t="shared" si="46"/>
        <v>200</v>
      </c>
      <c r="G388" s="16"/>
      <c r="H388" s="8">
        <f t="shared" si="47"/>
        <v>600813.89376285439</v>
      </c>
    </row>
    <row r="389" spans="2:8" x14ac:dyDescent="0.2">
      <c r="B389" s="51">
        <f t="shared" si="42"/>
        <v>379</v>
      </c>
      <c r="C389" s="8">
        <f t="shared" si="43"/>
        <v>600813.89376285439</v>
      </c>
      <c r="D389" s="9">
        <f t="shared" si="44"/>
        <v>5287.1622651131192</v>
      </c>
      <c r="E389" s="9">
        <f t="shared" si="45"/>
        <v>606101.05602796748</v>
      </c>
      <c r="F389" s="8">
        <f t="shared" si="46"/>
        <v>200</v>
      </c>
      <c r="G389" s="16"/>
      <c r="H389" s="8">
        <f t="shared" si="47"/>
        <v>606301.05602796748</v>
      </c>
    </row>
    <row r="390" spans="2:8" x14ac:dyDescent="0.2">
      <c r="B390" s="51">
        <f t="shared" si="42"/>
        <v>380</v>
      </c>
      <c r="C390" s="8">
        <f t="shared" si="43"/>
        <v>606301.05602796748</v>
      </c>
      <c r="D390" s="9">
        <f t="shared" si="44"/>
        <v>5335.4492930461138</v>
      </c>
      <c r="E390" s="9">
        <f t="shared" si="45"/>
        <v>611636.50532101362</v>
      </c>
      <c r="F390" s="8">
        <f t="shared" si="46"/>
        <v>200</v>
      </c>
      <c r="G390" s="16"/>
      <c r="H390" s="8">
        <f t="shared" si="47"/>
        <v>611836.50532101362</v>
      </c>
    </row>
    <row r="391" spans="2:8" x14ac:dyDescent="0.2">
      <c r="B391" s="51">
        <f t="shared" si="42"/>
        <v>381</v>
      </c>
      <c r="C391" s="8">
        <f t="shared" si="43"/>
        <v>611836.50532101362</v>
      </c>
      <c r="D391" s="9">
        <f t="shared" si="44"/>
        <v>5384.1612468249205</v>
      </c>
      <c r="E391" s="9">
        <f t="shared" si="45"/>
        <v>617220.66656783852</v>
      </c>
      <c r="F391" s="8">
        <f t="shared" si="46"/>
        <v>200</v>
      </c>
      <c r="G391" s="16"/>
      <c r="H391" s="8">
        <f t="shared" si="47"/>
        <v>617420.66656783852</v>
      </c>
    </row>
    <row r="392" spans="2:8" x14ac:dyDescent="0.2">
      <c r="B392" s="51">
        <f t="shared" si="42"/>
        <v>382</v>
      </c>
      <c r="C392" s="8">
        <f t="shared" si="43"/>
        <v>617420.66656783852</v>
      </c>
      <c r="D392" s="9">
        <f t="shared" si="44"/>
        <v>5433.3018657969797</v>
      </c>
      <c r="E392" s="9">
        <f t="shared" si="45"/>
        <v>622853.96843363554</v>
      </c>
      <c r="F392" s="8">
        <f t="shared" si="46"/>
        <v>200</v>
      </c>
      <c r="G392" s="16"/>
      <c r="H392" s="8">
        <f t="shared" si="47"/>
        <v>623053.96843363554</v>
      </c>
    </row>
    <row r="393" spans="2:8" x14ac:dyDescent="0.2">
      <c r="B393" s="51">
        <f t="shared" si="42"/>
        <v>383</v>
      </c>
      <c r="C393" s="8">
        <f t="shared" si="43"/>
        <v>623053.96843363554</v>
      </c>
      <c r="D393" s="9">
        <f t="shared" si="44"/>
        <v>5482.8749222159931</v>
      </c>
      <c r="E393" s="9">
        <f t="shared" si="45"/>
        <v>628536.84335585148</v>
      </c>
      <c r="F393" s="8">
        <f t="shared" si="46"/>
        <v>200</v>
      </c>
      <c r="G393" s="16"/>
      <c r="H393" s="8">
        <f t="shared" si="47"/>
        <v>628736.84335585148</v>
      </c>
    </row>
    <row r="394" spans="2:8" x14ac:dyDescent="0.2">
      <c r="B394" s="51">
        <f t="shared" si="42"/>
        <v>384</v>
      </c>
      <c r="C394" s="8">
        <f t="shared" si="43"/>
        <v>628736.84335585148</v>
      </c>
      <c r="D394" s="9">
        <f t="shared" si="44"/>
        <v>5532.8842215314935</v>
      </c>
      <c r="E394" s="9">
        <f t="shared" si="45"/>
        <v>634269.72757738293</v>
      </c>
      <c r="F394" s="8">
        <f t="shared" si="46"/>
        <v>200</v>
      </c>
      <c r="G394" s="16"/>
      <c r="H394" s="8">
        <f t="shared" si="47"/>
        <v>634469.72757738293</v>
      </c>
    </row>
    <row r="395" spans="2:8" x14ac:dyDescent="0.2">
      <c r="B395" s="51">
        <f t="shared" si="42"/>
        <v>385</v>
      </c>
      <c r="C395" s="8">
        <f t="shared" si="43"/>
        <v>634469.72757738293</v>
      </c>
      <c r="D395" s="9">
        <f t="shared" si="44"/>
        <v>5583.3336026809702</v>
      </c>
      <c r="E395" s="9">
        <f t="shared" si="45"/>
        <v>640053.06118006387</v>
      </c>
      <c r="F395" s="8">
        <f t="shared" si="46"/>
        <v>200</v>
      </c>
      <c r="G395" s="16"/>
      <c r="H395" s="8">
        <f t="shared" si="47"/>
        <v>640253.06118006387</v>
      </c>
    </row>
    <row r="396" spans="2:8" x14ac:dyDescent="0.2">
      <c r="B396" s="51">
        <f t="shared" si="42"/>
        <v>386</v>
      </c>
      <c r="C396" s="8">
        <f t="shared" si="43"/>
        <v>640253.06118006387</v>
      </c>
      <c r="D396" s="9">
        <f t="shared" si="44"/>
        <v>5634.2269383845623</v>
      </c>
      <c r="E396" s="9">
        <f t="shared" si="45"/>
        <v>645887.28811844846</v>
      </c>
      <c r="F396" s="8">
        <f t="shared" si="46"/>
        <v>200</v>
      </c>
      <c r="G396" s="16"/>
      <c r="H396" s="8">
        <f t="shared" si="47"/>
        <v>646087.28811844846</v>
      </c>
    </row>
    <row r="397" spans="2:8" x14ac:dyDescent="0.2">
      <c r="B397" s="51">
        <f t="shared" si="42"/>
        <v>387</v>
      </c>
      <c r="C397" s="8">
        <f t="shared" si="43"/>
        <v>646087.28811844846</v>
      </c>
      <c r="D397" s="9">
        <f t="shared" si="44"/>
        <v>5685.5681354423468</v>
      </c>
      <c r="E397" s="9">
        <f t="shared" si="45"/>
        <v>651772.85625389079</v>
      </c>
      <c r="F397" s="8">
        <f t="shared" si="46"/>
        <v>200</v>
      </c>
      <c r="G397" s="16"/>
      <c r="H397" s="8">
        <f t="shared" si="47"/>
        <v>651972.85625389079</v>
      </c>
    </row>
    <row r="398" spans="2:8" x14ac:dyDescent="0.2">
      <c r="B398" s="51">
        <f t="shared" si="42"/>
        <v>388</v>
      </c>
      <c r="C398" s="8">
        <f t="shared" si="43"/>
        <v>651972.85625389079</v>
      </c>
      <c r="D398" s="9">
        <f t="shared" si="44"/>
        <v>5737.3611350342389</v>
      </c>
      <c r="E398" s="9">
        <f t="shared" si="45"/>
        <v>657710.21738892503</v>
      </c>
      <c r="F398" s="8">
        <f t="shared" si="46"/>
        <v>200</v>
      </c>
      <c r="G398" s="16"/>
      <c r="H398" s="8">
        <f t="shared" si="47"/>
        <v>657910.21738892503</v>
      </c>
    </row>
    <row r="399" spans="2:8" x14ac:dyDescent="0.2">
      <c r="B399" s="51">
        <f t="shared" si="42"/>
        <v>389</v>
      </c>
      <c r="C399" s="8">
        <f t="shared" si="43"/>
        <v>657910.21738892503</v>
      </c>
      <c r="D399" s="9">
        <f t="shared" si="44"/>
        <v>5789.6099130225402</v>
      </c>
      <c r="E399" s="9">
        <f t="shared" si="45"/>
        <v>663699.82730194752</v>
      </c>
      <c r="F399" s="8">
        <f t="shared" si="46"/>
        <v>200</v>
      </c>
      <c r="G399" s="16"/>
      <c r="H399" s="8">
        <f t="shared" si="47"/>
        <v>663899.82730194752</v>
      </c>
    </row>
    <row r="400" spans="2:8" x14ac:dyDescent="0.2">
      <c r="B400" s="51">
        <f t="shared" si="42"/>
        <v>390</v>
      </c>
      <c r="C400" s="8">
        <f t="shared" si="43"/>
        <v>663899.82730194752</v>
      </c>
      <c r="D400" s="9">
        <f t="shared" si="44"/>
        <v>5842.3184802571386</v>
      </c>
      <c r="E400" s="9">
        <f t="shared" si="45"/>
        <v>669742.14578220469</v>
      </c>
      <c r="F400" s="8">
        <f t="shared" si="46"/>
        <v>200</v>
      </c>
      <c r="G400" s="16"/>
      <c r="H400" s="8">
        <f t="shared" si="47"/>
        <v>669942.14578220469</v>
      </c>
    </row>
    <row r="401" spans="2:8" x14ac:dyDescent="0.2">
      <c r="B401" s="51">
        <f t="shared" si="42"/>
        <v>391</v>
      </c>
      <c r="C401" s="8">
        <f t="shared" si="43"/>
        <v>669942.14578220469</v>
      </c>
      <c r="D401" s="9">
        <f t="shared" si="44"/>
        <v>5895.4908828834014</v>
      </c>
      <c r="E401" s="9">
        <f t="shared" si="45"/>
        <v>675837.63666508812</v>
      </c>
      <c r="F401" s="8">
        <f t="shared" si="46"/>
        <v>200</v>
      </c>
      <c r="G401" s="16"/>
      <c r="H401" s="8">
        <f t="shared" si="47"/>
        <v>676037.63666508812</v>
      </c>
    </row>
    <row r="402" spans="2:8" x14ac:dyDescent="0.2">
      <c r="B402" s="51">
        <f t="shared" si="42"/>
        <v>392</v>
      </c>
      <c r="C402" s="8">
        <f t="shared" si="43"/>
        <v>676037.63666508812</v>
      </c>
      <c r="D402" s="9">
        <f t="shared" si="44"/>
        <v>5949.1312026527758</v>
      </c>
      <c r="E402" s="9">
        <f t="shared" si="45"/>
        <v>681986.76786774094</v>
      </c>
      <c r="F402" s="8">
        <f t="shared" si="46"/>
        <v>200</v>
      </c>
      <c r="G402" s="16"/>
      <c r="H402" s="8">
        <f t="shared" si="47"/>
        <v>682186.76786774094</v>
      </c>
    </row>
    <row r="403" spans="2:8" x14ac:dyDescent="0.2">
      <c r="B403" s="51">
        <f t="shared" si="42"/>
        <v>393</v>
      </c>
      <c r="C403" s="8">
        <f t="shared" si="43"/>
        <v>682186.76786774094</v>
      </c>
      <c r="D403" s="9">
        <f t="shared" si="44"/>
        <v>6003.243557236121</v>
      </c>
      <c r="E403" s="9">
        <f t="shared" si="45"/>
        <v>688190.0114249771</v>
      </c>
      <c r="F403" s="8">
        <f t="shared" si="46"/>
        <v>200</v>
      </c>
      <c r="G403" s="16"/>
      <c r="H403" s="8">
        <f t="shared" si="47"/>
        <v>688390.0114249771</v>
      </c>
    </row>
    <row r="404" spans="2:8" x14ac:dyDescent="0.2">
      <c r="B404" s="51">
        <f t="shared" si="42"/>
        <v>394</v>
      </c>
      <c r="C404" s="8">
        <f t="shared" si="43"/>
        <v>688390.0114249771</v>
      </c>
      <c r="D404" s="9">
        <f t="shared" si="44"/>
        <v>6057.8321005397993</v>
      </c>
      <c r="E404" s="9">
        <f t="shared" si="45"/>
        <v>694447.84352551692</v>
      </c>
      <c r="F404" s="8">
        <f t="shared" si="46"/>
        <v>200</v>
      </c>
      <c r="G404" s="16"/>
      <c r="H404" s="8">
        <f t="shared" si="47"/>
        <v>694647.84352551692</v>
      </c>
    </row>
    <row r="405" spans="2:8" x14ac:dyDescent="0.2">
      <c r="B405" s="51">
        <f t="shared" si="42"/>
        <v>395</v>
      </c>
      <c r="C405" s="8">
        <f t="shared" si="43"/>
        <v>694647.84352551692</v>
      </c>
      <c r="D405" s="9">
        <f t="shared" si="44"/>
        <v>6112.9010230245494</v>
      </c>
      <c r="E405" s="9">
        <f t="shared" si="45"/>
        <v>700760.74454854149</v>
      </c>
      <c r="F405" s="8">
        <f t="shared" si="46"/>
        <v>200</v>
      </c>
      <c r="G405" s="16"/>
      <c r="H405" s="8">
        <f t="shared" si="47"/>
        <v>700960.74454854149</v>
      </c>
    </row>
    <row r="406" spans="2:8" x14ac:dyDescent="0.2">
      <c r="B406" s="51">
        <f t="shared" si="42"/>
        <v>396</v>
      </c>
      <c r="C406" s="8">
        <f t="shared" si="43"/>
        <v>700960.74454854149</v>
      </c>
      <c r="D406" s="9">
        <f t="shared" si="44"/>
        <v>6168.4545520271658</v>
      </c>
      <c r="E406" s="9">
        <f t="shared" si="45"/>
        <v>707129.19910056866</v>
      </c>
      <c r="F406" s="8">
        <f t="shared" si="46"/>
        <v>200</v>
      </c>
      <c r="G406" s="16"/>
      <c r="H406" s="8">
        <f t="shared" si="47"/>
        <v>707329.19910056866</v>
      </c>
    </row>
    <row r="407" spans="2:8" x14ac:dyDescent="0.2">
      <c r="B407" s="51">
        <f t="shared" si="42"/>
        <v>397</v>
      </c>
      <c r="C407" s="8">
        <f t="shared" si="43"/>
        <v>707329.19910056866</v>
      </c>
      <c r="D407" s="9">
        <f t="shared" si="44"/>
        <v>6224.4969520850045</v>
      </c>
      <c r="E407" s="9">
        <f t="shared" si="45"/>
        <v>713553.69605265372</v>
      </c>
      <c r="F407" s="8">
        <f t="shared" si="46"/>
        <v>200</v>
      </c>
      <c r="G407" s="16"/>
      <c r="H407" s="8">
        <f t="shared" si="47"/>
        <v>713753.69605265372</v>
      </c>
    </row>
    <row r="408" spans="2:8" x14ac:dyDescent="0.2">
      <c r="B408" s="51">
        <f t="shared" si="42"/>
        <v>398</v>
      </c>
      <c r="C408" s="8">
        <f t="shared" si="43"/>
        <v>713753.69605265372</v>
      </c>
      <c r="D408" s="9">
        <f t="shared" si="44"/>
        <v>6281.0325252633529</v>
      </c>
      <c r="E408" s="9">
        <f t="shared" si="45"/>
        <v>720034.72857791709</v>
      </c>
      <c r="F408" s="8">
        <f t="shared" si="46"/>
        <v>200</v>
      </c>
      <c r="G408" s="16"/>
      <c r="H408" s="8">
        <f t="shared" si="47"/>
        <v>720234.72857791709</v>
      </c>
    </row>
    <row r="409" spans="2:8" x14ac:dyDescent="0.2">
      <c r="B409" s="51">
        <f t="shared" si="42"/>
        <v>399</v>
      </c>
      <c r="C409" s="8">
        <f t="shared" si="43"/>
        <v>720234.72857791709</v>
      </c>
      <c r="D409" s="9">
        <f t="shared" si="44"/>
        <v>6338.0656114856711</v>
      </c>
      <c r="E409" s="9">
        <f t="shared" si="45"/>
        <v>726572.79418940272</v>
      </c>
      <c r="F409" s="8">
        <f t="shared" si="46"/>
        <v>200</v>
      </c>
      <c r="G409" s="16"/>
      <c r="H409" s="8">
        <f t="shared" si="47"/>
        <v>726772.79418940272</v>
      </c>
    </row>
    <row r="410" spans="2:8" x14ac:dyDescent="0.2">
      <c r="B410" s="51">
        <f t="shared" si="42"/>
        <v>400</v>
      </c>
      <c r="C410" s="8">
        <f t="shared" si="43"/>
        <v>726772.79418940272</v>
      </c>
      <c r="D410" s="9">
        <f t="shared" si="44"/>
        <v>6395.6005888667441</v>
      </c>
      <c r="E410" s="9">
        <f t="shared" si="45"/>
        <v>733168.39477826946</v>
      </c>
      <c r="F410" s="8">
        <f t="shared" si="46"/>
        <v>200</v>
      </c>
      <c r="G410" s="16"/>
      <c r="H410" s="8">
        <f t="shared" si="47"/>
        <v>733368.39477826946</v>
      </c>
    </row>
    <row r="411" spans="2:8" x14ac:dyDescent="0.2">
      <c r="B411" s="51">
        <f t="shared" si="42"/>
        <v>401</v>
      </c>
      <c r="C411" s="8">
        <f t="shared" si="43"/>
        <v>733368.39477826946</v>
      </c>
      <c r="D411" s="9">
        <f t="shared" si="44"/>
        <v>6453.6418740487716</v>
      </c>
      <c r="E411" s="9">
        <f t="shared" si="45"/>
        <v>739822.0366523182</v>
      </c>
      <c r="F411" s="8">
        <f t="shared" si="46"/>
        <v>200</v>
      </c>
      <c r="G411" s="16"/>
      <c r="H411" s="8">
        <f t="shared" si="47"/>
        <v>740022.0366523182</v>
      </c>
    </row>
    <row r="412" spans="2:8" x14ac:dyDescent="0.2">
      <c r="B412" s="51">
        <f t="shared" si="42"/>
        <v>402</v>
      </c>
      <c r="C412" s="8">
        <f t="shared" si="43"/>
        <v>740022.0366523182</v>
      </c>
      <c r="D412" s="9">
        <f t="shared" si="44"/>
        <v>6512.1939225404003</v>
      </c>
      <c r="E412" s="9">
        <f t="shared" si="45"/>
        <v>746534.23057485861</v>
      </c>
      <c r="F412" s="8">
        <f t="shared" si="46"/>
        <v>200</v>
      </c>
      <c r="G412" s="16"/>
      <c r="H412" s="8">
        <f t="shared" si="47"/>
        <v>746734.23057485861</v>
      </c>
    </row>
    <row r="413" spans="2:8" x14ac:dyDescent="0.2">
      <c r="B413" s="51">
        <f t="shared" si="42"/>
        <v>403</v>
      </c>
      <c r="C413" s="8">
        <f t="shared" si="43"/>
        <v>746734.23057485861</v>
      </c>
      <c r="D413" s="9">
        <f t="shared" si="44"/>
        <v>6571.2612290587558</v>
      </c>
      <c r="E413" s="9">
        <f t="shared" si="45"/>
        <v>753305.49180391734</v>
      </c>
      <c r="F413" s="8">
        <f t="shared" si="46"/>
        <v>200</v>
      </c>
      <c r="G413" s="16"/>
      <c r="H413" s="8">
        <f t="shared" si="47"/>
        <v>753505.49180391734</v>
      </c>
    </row>
    <row r="414" spans="2:8" x14ac:dyDescent="0.2">
      <c r="B414" s="51">
        <f t="shared" si="42"/>
        <v>404</v>
      </c>
      <c r="C414" s="8">
        <f t="shared" si="43"/>
        <v>753505.49180391734</v>
      </c>
      <c r="D414" s="9">
        <f t="shared" si="44"/>
        <v>6630.8483278744734</v>
      </c>
      <c r="E414" s="9">
        <f t="shared" si="45"/>
        <v>760136.34013179177</v>
      </c>
      <c r="F414" s="8">
        <f t="shared" si="46"/>
        <v>200</v>
      </c>
      <c r="G414" s="16"/>
      <c r="H414" s="8">
        <f t="shared" si="47"/>
        <v>760336.34013179177</v>
      </c>
    </row>
    <row r="415" spans="2:8" x14ac:dyDescent="0.2">
      <c r="B415" s="51">
        <f t="shared" si="42"/>
        <v>405</v>
      </c>
      <c r="C415" s="8">
        <f t="shared" si="43"/>
        <v>760336.34013179177</v>
      </c>
      <c r="D415" s="9">
        <f t="shared" si="44"/>
        <v>6690.9597931597682</v>
      </c>
      <c r="E415" s="9">
        <f t="shared" si="45"/>
        <v>767027.29992495151</v>
      </c>
      <c r="F415" s="8">
        <f t="shared" si="46"/>
        <v>200</v>
      </c>
      <c r="G415" s="16"/>
      <c r="H415" s="8">
        <f t="shared" si="47"/>
        <v>767227.29992495151</v>
      </c>
    </row>
    <row r="416" spans="2:8" x14ac:dyDescent="0.2">
      <c r="B416" s="51">
        <f t="shared" si="42"/>
        <v>406</v>
      </c>
      <c r="C416" s="8">
        <f t="shared" si="43"/>
        <v>767227.29992495151</v>
      </c>
      <c r="D416" s="9">
        <f t="shared" si="44"/>
        <v>6751.6002393395738</v>
      </c>
      <c r="E416" s="9">
        <f t="shared" si="45"/>
        <v>773978.90016429103</v>
      </c>
      <c r="F416" s="8">
        <f t="shared" si="46"/>
        <v>200</v>
      </c>
      <c r="G416" s="16"/>
      <c r="H416" s="8">
        <f t="shared" si="47"/>
        <v>774178.90016429103</v>
      </c>
    </row>
    <row r="417" spans="2:8" x14ac:dyDescent="0.2">
      <c r="B417" s="51">
        <f t="shared" si="42"/>
        <v>407</v>
      </c>
      <c r="C417" s="8">
        <f t="shared" si="43"/>
        <v>774178.90016429103</v>
      </c>
      <c r="D417" s="9">
        <f t="shared" si="44"/>
        <v>6812.7743214457614</v>
      </c>
      <c r="E417" s="9">
        <f t="shared" si="45"/>
        <v>780991.67448573676</v>
      </c>
      <c r="F417" s="8">
        <f t="shared" si="46"/>
        <v>200</v>
      </c>
      <c r="G417" s="16"/>
      <c r="H417" s="8">
        <f t="shared" si="47"/>
        <v>781191.67448573676</v>
      </c>
    </row>
    <row r="418" spans="2:8" x14ac:dyDescent="0.2">
      <c r="B418" s="51">
        <f t="shared" si="42"/>
        <v>408</v>
      </c>
      <c r="C418" s="8">
        <f t="shared" si="43"/>
        <v>781191.67448573676</v>
      </c>
      <c r="D418" s="9">
        <f t="shared" si="44"/>
        <v>6874.4867354744838</v>
      </c>
      <c r="E418" s="9">
        <f t="shared" si="45"/>
        <v>788066.16122121119</v>
      </c>
      <c r="F418" s="8">
        <f t="shared" si="46"/>
        <v>200</v>
      </c>
      <c r="G418" s="16"/>
      <c r="H418" s="8">
        <f t="shared" si="47"/>
        <v>788266.16122121119</v>
      </c>
    </row>
    <row r="419" spans="2:8" x14ac:dyDescent="0.2">
      <c r="B419" s="51">
        <f t="shared" si="42"/>
        <v>409</v>
      </c>
      <c r="C419" s="8">
        <f t="shared" si="43"/>
        <v>788266.16122121119</v>
      </c>
      <c r="D419" s="9">
        <f t="shared" si="44"/>
        <v>6936.7422187466591</v>
      </c>
      <c r="E419" s="9">
        <f t="shared" si="45"/>
        <v>795202.90343995788</v>
      </c>
      <c r="F419" s="8">
        <f t="shared" si="46"/>
        <v>200</v>
      </c>
      <c r="G419" s="16"/>
      <c r="H419" s="8">
        <f t="shared" si="47"/>
        <v>795402.90343995788</v>
      </c>
    </row>
    <row r="420" spans="2:8" x14ac:dyDescent="0.2">
      <c r="B420" s="51">
        <f t="shared" si="42"/>
        <v>410</v>
      </c>
      <c r="C420" s="8">
        <f t="shared" si="43"/>
        <v>795402.90343995788</v>
      </c>
      <c r="D420" s="9">
        <f t="shared" si="44"/>
        <v>6999.5455502716295</v>
      </c>
      <c r="E420" s="9">
        <f t="shared" si="45"/>
        <v>802402.44899022952</v>
      </c>
      <c r="F420" s="8">
        <f t="shared" si="46"/>
        <v>200</v>
      </c>
      <c r="G420" s="16"/>
      <c r="H420" s="8">
        <f t="shared" si="47"/>
        <v>802602.44899022952</v>
      </c>
    </row>
    <row r="421" spans="2:8" x14ac:dyDescent="0.2">
      <c r="B421" s="51">
        <f t="shared" si="42"/>
        <v>411</v>
      </c>
      <c r="C421" s="8">
        <f t="shared" si="43"/>
        <v>802602.44899022952</v>
      </c>
      <c r="D421" s="9">
        <f t="shared" si="44"/>
        <v>7062.9015511140205</v>
      </c>
      <c r="E421" s="9">
        <f t="shared" si="45"/>
        <v>809665.35054134356</v>
      </c>
      <c r="F421" s="8">
        <f t="shared" si="46"/>
        <v>200</v>
      </c>
      <c r="G421" s="16"/>
      <c r="H421" s="8">
        <f t="shared" si="47"/>
        <v>809865.35054134356</v>
      </c>
    </row>
    <row r="422" spans="2:8" x14ac:dyDescent="0.2">
      <c r="B422" s="51">
        <f t="shared" si="42"/>
        <v>412</v>
      </c>
      <c r="C422" s="8">
        <f t="shared" si="43"/>
        <v>809865.35054134356</v>
      </c>
      <c r="D422" s="9">
        <f t="shared" si="44"/>
        <v>7126.8150847638235</v>
      </c>
      <c r="E422" s="9">
        <f t="shared" si="45"/>
        <v>816992.16562610737</v>
      </c>
      <c r="F422" s="8">
        <f t="shared" si="46"/>
        <v>200</v>
      </c>
      <c r="G422" s="16"/>
      <c r="H422" s="8">
        <f t="shared" si="47"/>
        <v>817192.16562610737</v>
      </c>
    </row>
    <row r="423" spans="2:8" x14ac:dyDescent="0.2">
      <c r="B423" s="51">
        <f t="shared" si="42"/>
        <v>413</v>
      </c>
      <c r="C423" s="8">
        <f t="shared" si="43"/>
        <v>817192.16562610737</v>
      </c>
      <c r="D423" s="9">
        <f t="shared" si="44"/>
        <v>7191.2910575097449</v>
      </c>
      <c r="E423" s="9">
        <f t="shared" si="45"/>
        <v>824383.45668361709</v>
      </c>
      <c r="F423" s="8">
        <f t="shared" si="46"/>
        <v>200</v>
      </c>
      <c r="G423" s="16"/>
      <c r="H423" s="8">
        <f t="shared" si="47"/>
        <v>824583.45668361709</v>
      </c>
    </row>
    <row r="424" spans="2:8" x14ac:dyDescent="0.2">
      <c r="B424" s="51">
        <f t="shared" si="42"/>
        <v>414</v>
      </c>
      <c r="C424" s="8">
        <f t="shared" si="43"/>
        <v>824583.45668361709</v>
      </c>
      <c r="D424" s="9">
        <f t="shared" si="44"/>
        <v>7256.3344188158308</v>
      </c>
      <c r="E424" s="9">
        <f t="shared" si="45"/>
        <v>831839.79110243288</v>
      </c>
      <c r="F424" s="8">
        <f t="shared" si="46"/>
        <v>200</v>
      </c>
      <c r="G424" s="16"/>
      <c r="H424" s="8">
        <f t="shared" si="47"/>
        <v>832039.79110243288</v>
      </c>
    </row>
    <row r="425" spans="2:8" x14ac:dyDescent="0.2">
      <c r="B425" s="51">
        <f t="shared" si="42"/>
        <v>415</v>
      </c>
      <c r="C425" s="8">
        <f t="shared" si="43"/>
        <v>832039.79110243288</v>
      </c>
      <c r="D425" s="9">
        <f t="shared" si="44"/>
        <v>7321.9501617014093</v>
      </c>
      <c r="E425" s="9">
        <f t="shared" si="45"/>
        <v>839361.7412641343</v>
      </c>
      <c r="F425" s="8">
        <f t="shared" si="46"/>
        <v>200</v>
      </c>
      <c r="G425" s="16"/>
      <c r="H425" s="8">
        <f t="shared" si="47"/>
        <v>839561.7412641343</v>
      </c>
    </row>
    <row r="426" spans="2:8" x14ac:dyDescent="0.2">
      <c r="B426" s="51">
        <f t="shared" si="42"/>
        <v>416</v>
      </c>
      <c r="C426" s="8">
        <f t="shared" si="43"/>
        <v>839561.7412641343</v>
      </c>
      <c r="D426" s="9">
        <f t="shared" si="44"/>
        <v>7388.1433231243818</v>
      </c>
      <c r="E426" s="9">
        <f t="shared" si="45"/>
        <v>846949.88458725868</v>
      </c>
      <c r="F426" s="8">
        <f t="shared" si="46"/>
        <v>200</v>
      </c>
      <c r="G426" s="16"/>
      <c r="H426" s="8">
        <f t="shared" si="47"/>
        <v>847149.88458725868</v>
      </c>
    </row>
    <row r="427" spans="2:8" x14ac:dyDescent="0.2">
      <c r="B427" s="51">
        <f t="shared" si="42"/>
        <v>417</v>
      </c>
      <c r="C427" s="8">
        <f t="shared" si="43"/>
        <v>847149.88458725868</v>
      </c>
      <c r="D427" s="9">
        <f t="shared" si="44"/>
        <v>7454.9189843678769</v>
      </c>
      <c r="E427" s="9">
        <f t="shared" si="45"/>
        <v>854604.80357162654</v>
      </c>
      <c r="F427" s="8">
        <f t="shared" si="46"/>
        <v>200</v>
      </c>
      <c r="G427" s="16"/>
      <c r="H427" s="8">
        <f t="shared" si="47"/>
        <v>854804.80357162654</v>
      </c>
    </row>
    <row r="428" spans="2:8" x14ac:dyDescent="0.2">
      <c r="B428" s="51">
        <f t="shared" si="42"/>
        <v>418</v>
      </c>
      <c r="C428" s="8">
        <f t="shared" si="43"/>
        <v>854804.80357162654</v>
      </c>
      <c r="D428" s="9">
        <f t="shared" si="44"/>
        <v>7522.2822714303138</v>
      </c>
      <c r="E428" s="9">
        <f t="shared" si="45"/>
        <v>862327.08584305691</v>
      </c>
      <c r="F428" s="8">
        <f t="shared" si="46"/>
        <v>200</v>
      </c>
      <c r="G428" s="16"/>
      <c r="H428" s="8">
        <f t="shared" si="47"/>
        <v>862527.08584305691</v>
      </c>
    </row>
    <row r="429" spans="2:8" x14ac:dyDescent="0.2">
      <c r="B429" s="51">
        <f t="shared" si="42"/>
        <v>419</v>
      </c>
      <c r="C429" s="8">
        <f t="shared" si="43"/>
        <v>862527.08584305691</v>
      </c>
      <c r="D429" s="9">
        <f t="shared" si="44"/>
        <v>7590.2383554189009</v>
      </c>
      <c r="E429" s="9">
        <f t="shared" si="45"/>
        <v>870117.32419847581</v>
      </c>
      <c r="F429" s="8">
        <f t="shared" si="46"/>
        <v>200</v>
      </c>
      <c r="G429" s="16"/>
      <c r="H429" s="8">
        <f t="shared" si="47"/>
        <v>870317.32419847581</v>
      </c>
    </row>
    <row r="430" spans="2:8" x14ac:dyDescent="0.2">
      <c r="B430" s="51">
        <f t="shared" si="42"/>
        <v>420</v>
      </c>
      <c r="C430" s="8">
        <f t="shared" si="43"/>
        <v>870317.32419847581</v>
      </c>
      <c r="D430" s="9">
        <f t="shared" si="44"/>
        <v>7658.7924529465872</v>
      </c>
      <c r="E430" s="9">
        <f t="shared" si="45"/>
        <v>877976.11665142234</v>
      </c>
      <c r="F430" s="8">
        <f t="shared" si="46"/>
        <v>200</v>
      </c>
      <c r="G430" s="16"/>
      <c r="H430" s="8">
        <f t="shared" si="47"/>
        <v>878176.11665142234</v>
      </c>
    </row>
    <row r="431" spans="2:8" x14ac:dyDescent="0.2">
      <c r="B431" s="51">
        <f t="shared" si="42"/>
        <v>421</v>
      </c>
      <c r="C431" s="8">
        <f t="shared" si="43"/>
        <v>878176.11665142234</v>
      </c>
      <c r="D431" s="9">
        <f t="shared" si="44"/>
        <v>7727.9498265325174</v>
      </c>
      <c r="E431" s="9">
        <f t="shared" si="45"/>
        <v>885904.06647795485</v>
      </c>
      <c r="F431" s="8">
        <f t="shared" si="46"/>
        <v>200</v>
      </c>
      <c r="G431" s="16"/>
      <c r="H431" s="8">
        <f t="shared" si="47"/>
        <v>886104.06647795485</v>
      </c>
    </row>
    <row r="432" spans="2:8" x14ac:dyDescent="0.2">
      <c r="B432" s="51">
        <f t="shared" si="42"/>
        <v>422</v>
      </c>
      <c r="C432" s="8">
        <f t="shared" si="43"/>
        <v>886104.06647795485</v>
      </c>
      <c r="D432" s="9">
        <f t="shared" si="44"/>
        <v>7797.715785006003</v>
      </c>
      <c r="E432" s="9">
        <f t="shared" si="45"/>
        <v>893901.78226296091</v>
      </c>
      <c r="F432" s="8">
        <f t="shared" si="46"/>
        <v>200</v>
      </c>
      <c r="G432" s="16"/>
      <c r="H432" s="8">
        <f t="shared" si="47"/>
        <v>894101.78226296091</v>
      </c>
    </row>
    <row r="433" spans="2:8" x14ac:dyDescent="0.2">
      <c r="B433" s="51">
        <f t="shared" si="42"/>
        <v>423</v>
      </c>
      <c r="C433" s="8">
        <f t="shared" si="43"/>
        <v>894101.78226296091</v>
      </c>
      <c r="D433" s="9">
        <f t="shared" si="44"/>
        <v>7868.0956839140563</v>
      </c>
      <c r="E433" s="9">
        <f t="shared" si="45"/>
        <v>901969.87794687494</v>
      </c>
      <c r="F433" s="8">
        <f t="shared" si="46"/>
        <v>200</v>
      </c>
      <c r="G433" s="16"/>
      <c r="H433" s="8">
        <f t="shared" si="47"/>
        <v>902169.87794687494</v>
      </c>
    </row>
    <row r="434" spans="2:8" x14ac:dyDescent="0.2">
      <c r="B434" s="51">
        <f t="shared" si="42"/>
        <v>424</v>
      </c>
      <c r="C434" s="8">
        <f t="shared" si="43"/>
        <v>902169.87794687494</v>
      </c>
      <c r="D434" s="9">
        <f t="shared" si="44"/>
        <v>7939.0949259324998</v>
      </c>
      <c r="E434" s="9">
        <f t="shared" si="45"/>
        <v>910108.97287280741</v>
      </c>
      <c r="F434" s="8">
        <f t="shared" si="46"/>
        <v>200</v>
      </c>
      <c r="G434" s="16"/>
      <c r="H434" s="8">
        <f t="shared" si="47"/>
        <v>910308.97287280741</v>
      </c>
    </row>
    <row r="435" spans="2:8" x14ac:dyDescent="0.2">
      <c r="B435" s="51">
        <f t="shared" ref="B435:B498" si="48">IF(AND(B434&gt;0,B434&lt;E$8),B434+1,0)</f>
        <v>425</v>
      </c>
      <c r="C435" s="8">
        <f t="shared" ref="C435:C498" si="49">IF(B435&gt;0,H434,0)</f>
        <v>910308.97287280741</v>
      </c>
      <c r="D435" s="9">
        <f t="shared" ref="D435:D498" si="50">IF(B435&gt;0,C435*$F$8,0)</f>
        <v>8010.718961280706</v>
      </c>
      <c r="E435" s="9">
        <f t="shared" ref="E435:E498" si="51">IF(B435&gt;0,C435+D435,0)</f>
        <v>918319.69183408807</v>
      </c>
      <c r="F435" s="8">
        <f t="shared" ref="F435:F498" si="52">IF(B435&gt;0,$D$8,0)</f>
        <v>200</v>
      </c>
      <c r="G435" s="16"/>
      <c r="H435" s="8">
        <f t="shared" ref="H435:H498" si="53">IF(B435&gt;0,E435+F435+G435,0)</f>
        <v>918519.69183408807</v>
      </c>
    </row>
    <row r="436" spans="2:8" x14ac:dyDescent="0.2">
      <c r="B436" s="51">
        <f t="shared" si="48"/>
        <v>426</v>
      </c>
      <c r="C436" s="8">
        <f t="shared" si="49"/>
        <v>918519.69183408807</v>
      </c>
      <c r="D436" s="9">
        <f t="shared" si="50"/>
        <v>8082.973288139975</v>
      </c>
      <c r="E436" s="9">
        <f t="shared" si="51"/>
        <v>926602.66512222809</v>
      </c>
      <c r="F436" s="8">
        <f t="shared" si="52"/>
        <v>200</v>
      </c>
      <c r="G436" s="16"/>
      <c r="H436" s="8">
        <f t="shared" si="53"/>
        <v>926802.66512222809</v>
      </c>
    </row>
    <row r="437" spans="2:8" x14ac:dyDescent="0.2">
      <c r="B437" s="51">
        <f t="shared" si="48"/>
        <v>427</v>
      </c>
      <c r="C437" s="8">
        <f t="shared" si="49"/>
        <v>926802.66512222809</v>
      </c>
      <c r="D437" s="9">
        <f t="shared" si="50"/>
        <v>8155.863453075608</v>
      </c>
      <c r="E437" s="9">
        <f t="shared" si="51"/>
        <v>934958.52857530373</v>
      </c>
      <c r="F437" s="8">
        <f t="shared" si="52"/>
        <v>200</v>
      </c>
      <c r="G437" s="16"/>
      <c r="H437" s="8">
        <f t="shared" si="53"/>
        <v>935158.52857530373</v>
      </c>
    </row>
    <row r="438" spans="2:8" x14ac:dyDescent="0.2">
      <c r="B438" s="51">
        <f t="shared" si="48"/>
        <v>428</v>
      </c>
      <c r="C438" s="8">
        <f t="shared" si="49"/>
        <v>935158.52857530373</v>
      </c>
      <c r="D438" s="9">
        <f t="shared" si="50"/>
        <v>8229.395051462674</v>
      </c>
      <c r="E438" s="9">
        <f t="shared" si="51"/>
        <v>943387.92362676642</v>
      </c>
      <c r="F438" s="8">
        <f t="shared" si="52"/>
        <v>200</v>
      </c>
      <c r="G438" s="16"/>
      <c r="H438" s="8">
        <f t="shared" si="53"/>
        <v>943587.92362676642</v>
      </c>
    </row>
    <row r="439" spans="2:8" x14ac:dyDescent="0.2">
      <c r="B439" s="51">
        <f t="shared" si="48"/>
        <v>429</v>
      </c>
      <c r="C439" s="8">
        <f t="shared" si="49"/>
        <v>943587.92362676642</v>
      </c>
      <c r="D439" s="9">
        <f t="shared" si="50"/>
        <v>8303.5737279155455</v>
      </c>
      <c r="E439" s="9">
        <f t="shared" si="51"/>
        <v>951891.49735468195</v>
      </c>
      <c r="F439" s="8">
        <f t="shared" si="52"/>
        <v>200</v>
      </c>
      <c r="G439" s="16"/>
      <c r="H439" s="8">
        <f t="shared" si="53"/>
        <v>952091.49735468195</v>
      </c>
    </row>
    <row r="440" spans="2:8" x14ac:dyDescent="0.2">
      <c r="B440" s="51">
        <f t="shared" si="48"/>
        <v>430</v>
      </c>
      <c r="C440" s="8">
        <f t="shared" si="49"/>
        <v>952091.49735468195</v>
      </c>
      <c r="D440" s="9">
        <f t="shared" si="50"/>
        <v>8378.4051767212022</v>
      </c>
      <c r="E440" s="9">
        <f t="shared" si="51"/>
        <v>960469.90253140312</v>
      </c>
      <c r="F440" s="8">
        <f t="shared" si="52"/>
        <v>200</v>
      </c>
      <c r="G440" s="16"/>
      <c r="H440" s="8">
        <f t="shared" si="53"/>
        <v>960669.90253140312</v>
      </c>
    </row>
    <row r="441" spans="2:8" x14ac:dyDescent="0.2">
      <c r="B441" s="51">
        <f t="shared" si="48"/>
        <v>431</v>
      </c>
      <c r="C441" s="8">
        <f t="shared" si="49"/>
        <v>960669.90253140312</v>
      </c>
      <c r="D441" s="9">
        <f t="shared" si="50"/>
        <v>8453.8951422763475</v>
      </c>
      <c r="E441" s="9">
        <f t="shared" si="51"/>
        <v>969123.79767367942</v>
      </c>
      <c r="F441" s="8">
        <f t="shared" si="52"/>
        <v>200</v>
      </c>
      <c r="G441" s="16"/>
      <c r="H441" s="8">
        <f t="shared" si="53"/>
        <v>969323.79767367942</v>
      </c>
    </row>
    <row r="442" spans="2:8" x14ac:dyDescent="0.2">
      <c r="B442" s="51">
        <f t="shared" si="48"/>
        <v>432</v>
      </c>
      <c r="C442" s="8">
        <f t="shared" si="49"/>
        <v>969323.79767367942</v>
      </c>
      <c r="D442" s="9">
        <f t="shared" si="50"/>
        <v>8530.0494195283791</v>
      </c>
      <c r="E442" s="9">
        <f t="shared" si="51"/>
        <v>977853.84709320776</v>
      </c>
      <c r="F442" s="8">
        <f t="shared" si="52"/>
        <v>200</v>
      </c>
      <c r="G442" s="16"/>
      <c r="H442" s="8">
        <f t="shared" si="53"/>
        <v>978053.84709320776</v>
      </c>
    </row>
    <row r="443" spans="2:8" x14ac:dyDescent="0.2">
      <c r="B443" s="51">
        <f t="shared" si="48"/>
        <v>433</v>
      </c>
      <c r="C443" s="8">
        <f t="shared" si="49"/>
        <v>978053.84709320776</v>
      </c>
      <c r="D443" s="9">
        <f t="shared" si="50"/>
        <v>8606.8738544202297</v>
      </c>
      <c r="E443" s="9">
        <f t="shared" si="51"/>
        <v>986660.72094762803</v>
      </c>
      <c r="F443" s="8">
        <f t="shared" si="52"/>
        <v>200</v>
      </c>
      <c r="G443" s="16"/>
      <c r="H443" s="8">
        <f t="shared" si="53"/>
        <v>986860.72094762803</v>
      </c>
    </row>
    <row r="444" spans="2:8" x14ac:dyDescent="0.2">
      <c r="B444" s="51">
        <f t="shared" si="48"/>
        <v>434</v>
      </c>
      <c r="C444" s="8">
        <f t="shared" si="49"/>
        <v>986860.72094762803</v>
      </c>
      <c r="D444" s="9">
        <f t="shared" si="50"/>
        <v>8684.3743443391268</v>
      </c>
      <c r="E444" s="9">
        <f t="shared" si="51"/>
        <v>995545.09529196715</v>
      </c>
      <c r="F444" s="8">
        <f t="shared" si="52"/>
        <v>200</v>
      </c>
      <c r="G444" s="16"/>
      <c r="H444" s="8">
        <f t="shared" si="53"/>
        <v>995745.09529196715</v>
      </c>
    </row>
    <row r="445" spans="2:8" x14ac:dyDescent="0.2">
      <c r="B445" s="51">
        <f t="shared" si="48"/>
        <v>435</v>
      </c>
      <c r="C445" s="8">
        <f t="shared" si="49"/>
        <v>995745.09529196715</v>
      </c>
      <c r="D445" s="9">
        <f t="shared" si="50"/>
        <v>8762.5568385693114</v>
      </c>
      <c r="E445" s="9">
        <f t="shared" si="51"/>
        <v>1004507.6521305365</v>
      </c>
      <c r="F445" s="8">
        <f t="shared" si="52"/>
        <v>200</v>
      </c>
      <c r="G445" s="16"/>
      <c r="H445" s="8">
        <f t="shared" si="53"/>
        <v>1004707.6521305365</v>
      </c>
    </row>
    <row r="446" spans="2:8" x14ac:dyDescent="0.2">
      <c r="B446" s="51">
        <f t="shared" si="48"/>
        <v>436</v>
      </c>
      <c r="C446" s="8">
        <f t="shared" si="49"/>
        <v>1004707.6521305365</v>
      </c>
      <c r="D446" s="9">
        <f t="shared" si="50"/>
        <v>8841.427338748721</v>
      </c>
      <c r="E446" s="9">
        <f t="shared" si="51"/>
        <v>1013549.0794692852</v>
      </c>
      <c r="F446" s="8">
        <f t="shared" si="52"/>
        <v>200</v>
      </c>
      <c r="G446" s="16"/>
      <c r="H446" s="8">
        <f t="shared" si="53"/>
        <v>1013749.0794692852</v>
      </c>
    </row>
    <row r="447" spans="2:8" x14ac:dyDescent="0.2">
      <c r="B447" s="51">
        <f t="shared" si="48"/>
        <v>437</v>
      </c>
      <c r="C447" s="8">
        <f t="shared" si="49"/>
        <v>1013749.0794692852</v>
      </c>
      <c r="D447" s="9">
        <f t="shared" si="50"/>
        <v>8920.9918993297106</v>
      </c>
      <c r="E447" s="9">
        <f t="shared" si="51"/>
        <v>1022670.0713686149</v>
      </c>
      <c r="F447" s="8">
        <f t="shared" si="52"/>
        <v>200</v>
      </c>
      <c r="G447" s="16"/>
      <c r="H447" s="8">
        <f t="shared" si="53"/>
        <v>1022870.0713686149</v>
      </c>
    </row>
    <row r="448" spans="2:8" x14ac:dyDescent="0.2">
      <c r="B448" s="51">
        <f t="shared" si="48"/>
        <v>438</v>
      </c>
      <c r="C448" s="8">
        <f t="shared" si="49"/>
        <v>1022870.0713686149</v>
      </c>
      <c r="D448" s="9">
        <f t="shared" si="50"/>
        <v>9001.2566280438114</v>
      </c>
      <c r="E448" s="9">
        <f t="shared" si="51"/>
        <v>1031871.3279966587</v>
      </c>
      <c r="F448" s="8">
        <f t="shared" si="52"/>
        <v>200</v>
      </c>
      <c r="G448" s="16"/>
      <c r="H448" s="8">
        <f t="shared" si="53"/>
        <v>1032071.3279966587</v>
      </c>
    </row>
    <row r="449" spans="2:8" x14ac:dyDescent="0.2">
      <c r="B449" s="51">
        <f t="shared" si="48"/>
        <v>439</v>
      </c>
      <c r="C449" s="8">
        <f t="shared" si="49"/>
        <v>1032071.3279966587</v>
      </c>
      <c r="D449" s="9">
        <f t="shared" si="50"/>
        <v>9082.2276863705974</v>
      </c>
      <c r="E449" s="9">
        <f t="shared" si="51"/>
        <v>1041153.5556830293</v>
      </c>
      <c r="F449" s="8">
        <f t="shared" si="52"/>
        <v>200</v>
      </c>
      <c r="G449" s="16"/>
      <c r="H449" s="8">
        <f t="shared" si="53"/>
        <v>1041353.5556830293</v>
      </c>
    </row>
    <row r="450" spans="2:8" x14ac:dyDescent="0.2">
      <c r="B450" s="51">
        <f t="shared" si="48"/>
        <v>440</v>
      </c>
      <c r="C450" s="8">
        <f t="shared" si="49"/>
        <v>1041353.5556830293</v>
      </c>
      <c r="D450" s="9">
        <f t="shared" si="50"/>
        <v>9163.9112900106593</v>
      </c>
      <c r="E450" s="9">
        <f t="shared" si="51"/>
        <v>1050517.46697304</v>
      </c>
      <c r="F450" s="8">
        <f t="shared" si="52"/>
        <v>200</v>
      </c>
      <c r="G450" s="16"/>
      <c r="H450" s="8">
        <f t="shared" si="53"/>
        <v>1050717.46697304</v>
      </c>
    </row>
    <row r="451" spans="2:8" x14ac:dyDescent="0.2">
      <c r="B451" s="51">
        <f t="shared" si="48"/>
        <v>441</v>
      </c>
      <c r="C451" s="8">
        <f t="shared" si="49"/>
        <v>1050717.46697304</v>
      </c>
      <c r="D451" s="9">
        <f t="shared" si="50"/>
        <v>9246.313709362752</v>
      </c>
      <c r="E451" s="9">
        <f t="shared" si="51"/>
        <v>1059963.7806824027</v>
      </c>
      <c r="F451" s="8">
        <f t="shared" si="52"/>
        <v>200</v>
      </c>
      <c r="G451" s="16"/>
      <c r="H451" s="8">
        <f t="shared" si="53"/>
        <v>1060163.7806824027</v>
      </c>
    </row>
    <row r="452" spans="2:8" x14ac:dyDescent="0.2">
      <c r="B452" s="51">
        <f t="shared" si="48"/>
        <v>442</v>
      </c>
      <c r="C452" s="8">
        <f t="shared" si="49"/>
        <v>1060163.7806824027</v>
      </c>
      <c r="D452" s="9">
        <f t="shared" si="50"/>
        <v>9329.4412700051435</v>
      </c>
      <c r="E452" s="9">
        <f t="shared" si="51"/>
        <v>1069493.2219524079</v>
      </c>
      <c r="F452" s="8">
        <f t="shared" si="52"/>
        <v>200</v>
      </c>
      <c r="G452" s="16"/>
      <c r="H452" s="8">
        <f t="shared" si="53"/>
        <v>1069693.2219524079</v>
      </c>
    </row>
    <row r="453" spans="2:8" x14ac:dyDescent="0.2">
      <c r="B453" s="51">
        <f t="shared" si="48"/>
        <v>443</v>
      </c>
      <c r="C453" s="8">
        <f t="shared" si="49"/>
        <v>1069693.2219524079</v>
      </c>
      <c r="D453" s="9">
        <f t="shared" si="50"/>
        <v>9413.3003531811901</v>
      </c>
      <c r="E453" s="9">
        <f t="shared" si="51"/>
        <v>1079106.5223055889</v>
      </c>
      <c r="F453" s="8">
        <f t="shared" si="52"/>
        <v>200</v>
      </c>
      <c r="G453" s="16"/>
      <c r="H453" s="8">
        <f t="shared" si="53"/>
        <v>1079306.5223055889</v>
      </c>
    </row>
    <row r="454" spans="2:8" x14ac:dyDescent="0.2">
      <c r="B454" s="51">
        <f t="shared" si="48"/>
        <v>444</v>
      </c>
      <c r="C454" s="8">
        <f t="shared" si="49"/>
        <v>1079306.5223055889</v>
      </c>
      <c r="D454" s="9">
        <f t="shared" si="50"/>
        <v>9497.8973962891832</v>
      </c>
      <c r="E454" s="9">
        <f t="shared" si="51"/>
        <v>1088804.4197018782</v>
      </c>
      <c r="F454" s="8">
        <f t="shared" si="52"/>
        <v>200</v>
      </c>
      <c r="G454" s="16"/>
      <c r="H454" s="8">
        <f t="shared" si="53"/>
        <v>1089004.4197018782</v>
      </c>
    </row>
    <row r="455" spans="2:8" x14ac:dyDescent="0.2">
      <c r="B455" s="51">
        <f t="shared" si="48"/>
        <v>445</v>
      </c>
      <c r="C455" s="8">
        <f t="shared" si="49"/>
        <v>1089004.4197018782</v>
      </c>
      <c r="D455" s="9">
        <f t="shared" si="50"/>
        <v>9583.2388933765287</v>
      </c>
      <c r="E455" s="9">
        <f t="shared" si="51"/>
        <v>1098587.6585952546</v>
      </c>
      <c r="F455" s="8">
        <f t="shared" si="52"/>
        <v>200</v>
      </c>
      <c r="G455" s="16"/>
      <c r="H455" s="8">
        <f t="shared" si="53"/>
        <v>1098787.6585952546</v>
      </c>
    </row>
    <row r="456" spans="2:8" x14ac:dyDescent="0.2">
      <c r="B456" s="51">
        <f t="shared" si="48"/>
        <v>446</v>
      </c>
      <c r="C456" s="8">
        <f t="shared" si="49"/>
        <v>1098787.6585952546</v>
      </c>
      <c r="D456" s="9">
        <f t="shared" si="50"/>
        <v>9669.3313956382408</v>
      </c>
      <c r="E456" s="9">
        <f t="shared" si="51"/>
        <v>1108456.9899908928</v>
      </c>
      <c r="F456" s="8">
        <f t="shared" si="52"/>
        <v>200</v>
      </c>
      <c r="G456" s="16"/>
      <c r="H456" s="8">
        <f t="shared" si="53"/>
        <v>1108656.9899908928</v>
      </c>
    </row>
    <row r="457" spans="2:8" x14ac:dyDescent="0.2">
      <c r="B457" s="51">
        <f t="shared" si="48"/>
        <v>447</v>
      </c>
      <c r="C457" s="8">
        <f t="shared" si="49"/>
        <v>1108656.9899908928</v>
      </c>
      <c r="D457" s="9">
        <f t="shared" si="50"/>
        <v>9756.1815119198582</v>
      </c>
      <c r="E457" s="9">
        <f t="shared" si="51"/>
        <v>1118413.1715028128</v>
      </c>
      <c r="F457" s="8">
        <f t="shared" si="52"/>
        <v>200</v>
      </c>
      <c r="G457" s="16"/>
      <c r="H457" s="8">
        <f t="shared" si="53"/>
        <v>1118613.1715028128</v>
      </c>
    </row>
    <row r="458" spans="2:8" x14ac:dyDescent="0.2">
      <c r="B458" s="51">
        <f t="shared" si="48"/>
        <v>448</v>
      </c>
      <c r="C458" s="8">
        <f t="shared" si="49"/>
        <v>1118613.1715028128</v>
      </c>
      <c r="D458" s="9">
        <f t="shared" si="50"/>
        <v>9843.7959092247529</v>
      </c>
      <c r="E458" s="9">
        <f t="shared" si="51"/>
        <v>1128456.9674120375</v>
      </c>
      <c r="F458" s="8">
        <f t="shared" si="52"/>
        <v>200</v>
      </c>
      <c r="G458" s="16"/>
      <c r="H458" s="8">
        <f t="shared" si="53"/>
        <v>1128656.9674120375</v>
      </c>
    </row>
    <row r="459" spans="2:8" x14ac:dyDescent="0.2">
      <c r="B459" s="51">
        <f t="shared" si="48"/>
        <v>449</v>
      </c>
      <c r="C459" s="8">
        <f t="shared" si="49"/>
        <v>1128656.9674120375</v>
      </c>
      <c r="D459" s="9">
        <f t="shared" si="50"/>
        <v>9932.1813132259304</v>
      </c>
      <c r="E459" s="9">
        <f t="shared" si="51"/>
        <v>1138589.1487252635</v>
      </c>
      <c r="F459" s="8">
        <f t="shared" si="52"/>
        <v>200</v>
      </c>
      <c r="G459" s="16"/>
      <c r="H459" s="8">
        <f t="shared" si="53"/>
        <v>1138789.1487252635</v>
      </c>
    </row>
    <row r="460" spans="2:8" x14ac:dyDescent="0.2">
      <c r="B460" s="51">
        <f t="shared" si="48"/>
        <v>450</v>
      </c>
      <c r="C460" s="8">
        <f t="shared" si="49"/>
        <v>1138789.1487252635</v>
      </c>
      <c r="D460" s="9">
        <f t="shared" si="50"/>
        <v>10021.34450878232</v>
      </c>
      <c r="E460" s="9">
        <f t="shared" si="51"/>
        <v>1148810.4932340458</v>
      </c>
      <c r="F460" s="8">
        <f t="shared" si="52"/>
        <v>200</v>
      </c>
      <c r="G460" s="16"/>
      <c r="H460" s="8">
        <f t="shared" si="53"/>
        <v>1149010.4932340458</v>
      </c>
    </row>
    <row r="461" spans="2:8" x14ac:dyDescent="0.2">
      <c r="B461" s="51">
        <f t="shared" si="48"/>
        <v>451</v>
      </c>
      <c r="C461" s="8">
        <f t="shared" si="49"/>
        <v>1149010.4932340458</v>
      </c>
      <c r="D461" s="9">
        <f t="shared" si="50"/>
        <v>10111.292340459604</v>
      </c>
      <c r="E461" s="9">
        <f t="shared" si="51"/>
        <v>1159121.7855745053</v>
      </c>
      <c r="F461" s="8">
        <f t="shared" si="52"/>
        <v>200</v>
      </c>
      <c r="G461" s="16"/>
      <c r="H461" s="8">
        <f t="shared" si="53"/>
        <v>1159321.7855745053</v>
      </c>
    </row>
    <row r="462" spans="2:8" x14ac:dyDescent="0.2">
      <c r="B462" s="51">
        <f t="shared" si="48"/>
        <v>452</v>
      </c>
      <c r="C462" s="8">
        <f t="shared" si="49"/>
        <v>1159321.7855745053</v>
      </c>
      <c r="D462" s="9">
        <f t="shared" si="50"/>
        <v>10202.031713055647</v>
      </c>
      <c r="E462" s="9">
        <f t="shared" si="51"/>
        <v>1169523.817287561</v>
      </c>
      <c r="F462" s="8">
        <f t="shared" si="52"/>
        <v>200</v>
      </c>
      <c r="G462" s="16"/>
      <c r="H462" s="8">
        <f t="shared" si="53"/>
        <v>1169723.817287561</v>
      </c>
    </row>
    <row r="463" spans="2:8" x14ac:dyDescent="0.2">
      <c r="B463" s="51">
        <f t="shared" si="48"/>
        <v>453</v>
      </c>
      <c r="C463" s="8">
        <f t="shared" si="49"/>
        <v>1169723.817287561</v>
      </c>
      <c r="D463" s="9">
        <f t="shared" si="50"/>
        <v>10293.569592130538</v>
      </c>
      <c r="E463" s="9">
        <f t="shared" si="51"/>
        <v>1180017.3868796916</v>
      </c>
      <c r="F463" s="8">
        <f t="shared" si="52"/>
        <v>200</v>
      </c>
      <c r="G463" s="16"/>
      <c r="H463" s="8">
        <f t="shared" si="53"/>
        <v>1180217.3868796916</v>
      </c>
    </row>
    <row r="464" spans="2:8" x14ac:dyDescent="0.2">
      <c r="B464" s="51">
        <f t="shared" si="48"/>
        <v>454</v>
      </c>
      <c r="C464" s="8">
        <f t="shared" si="49"/>
        <v>1180217.3868796916</v>
      </c>
      <c r="D464" s="9">
        <f t="shared" si="50"/>
        <v>10385.913004541288</v>
      </c>
      <c r="E464" s="9">
        <f t="shared" si="51"/>
        <v>1190603.2998842329</v>
      </c>
      <c r="F464" s="8">
        <f t="shared" si="52"/>
        <v>200</v>
      </c>
      <c r="G464" s="16"/>
      <c r="H464" s="8">
        <f t="shared" si="53"/>
        <v>1190803.2998842329</v>
      </c>
    </row>
    <row r="465" spans="2:8" x14ac:dyDescent="0.2">
      <c r="B465" s="51">
        <f t="shared" si="48"/>
        <v>455</v>
      </c>
      <c r="C465" s="8">
        <f t="shared" si="49"/>
        <v>1190803.2998842329</v>
      </c>
      <c r="D465" s="9">
        <f t="shared" si="50"/>
        <v>10479.06903898125</v>
      </c>
      <c r="E465" s="9">
        <f t="shared" si="51"/>
        <v>1201282.3689232143</v>
      </c>
      <c r="F465" s="8">
        <f t="shared" si="52"/>
        <v>200</v>
      </c>
      <c r="G465" s="16"/>
      <c r="H465" s="8">
        <f t="shared" si="53"/>
        <v>1201482.3689232143</v>
      </c>
    </row>
    <row r="466" spans="2:8" x14ac:dyDescent="0.2">
      <c r="B466" s="51">
        <f t="shared" si="48"/>
        <v>456</v>
      </c>
      <c r="C466" s="8">
        <f t="shared" si="49"/>
        <v>1201482.3689232143</v>
      </c>
      <c r="D466" s="9">
        <f t="shared" si="50"/>
        <v>10573.044846524286</v>
      </c>
      <c r="E466" s="9">
        <f t="shared" si="51"/>
        <v>1212055.4137697385</v>
      </c>
      <c r="F466" s="8">
        <f t="shared" si="52"/>
        <v>200</v>
      </c>
      <c r="G466" s="16"/>
      <c r="H466" s="8">
        <f t="shared" si="53"/>
        <v>1212255.4137697385</v>
      </c>
    </row>
    <row r="467" spans="2:8" x14ac:dyDescent="0.2">
      <c r="B467" s="51">
        <f t="shared" si="48"/>
        <v>457</v>
      </c>
      <c r="C467" s="8">
        <f t="shared" si="49"/>
        <v>1212255.4137697385</v>
      </c>
      <c r="D467" s="9">
        <f t="shared" si="50"/>
        <v>10667.847641173699</v>
      </c>
      <c r="E467" s="9">
        <f t="shared" si="51"/>
        <v>1222923.2614109123</v>
      </c>
      <c r="F467" s="8">
        <f t="shared" si="52"/>
        <v>200</v>
      </c>
      <c r="G467" s="16"/>
      <c r="H467" s="8">
        <f t="shared" si="53"/>
        <v>1223123.2614109123</v>
      </c>
    </row>
    <row r="468" spans="2:8" x14ac:dyDescent="0.2">
      <c r="B468" s="51">
        <f t="shared" si="48"/>
        <v>458</v>
      </c>
      <c r="C468" s="8">
        <f t="shared" si="49"/>
        <v>1223123.2614109123</v>
      </c>
      <c r="D468" s="9">
        <f t="shared" si="50"/>
        <v>10763.484700416029</v>
      </c>
      <c r="E468" s="9">
        <f t="shared" si="51"/>
        <v>1233886.7461113282</v>
      </c>
      <c r="F468" s="8">
        <f t="shared" si="52"/>
        <v>200</v>
      </c>
      <c r="G468" s="16"/>
      <c r="H468" s="8">
        <f t="shared" si="53"/>
        <v>1234086.7461113282</v>
      </c>
    </row>
    <row r="469" spans="2:8" x14ac:dyDescent="0.2">
      <c r="B469" s="51">
        <f t="shared" si="48"/>
        <v>459</v>
      </c>
      <c r="C469" s="8">
        <f t="shared" si="49"/>
        <v>1234086.7461113282</v>
      </c>
      <c r="D469" s="9">
        <f t="shared" si="50"/>
        <v>10859.963365779689</v>
      </c>
      <c r="E469" s="9">
        <f t="shared" si="51"/>
        <v>1244946.709477108</v>
      </c>
      <c r="F469" s="8">
        <f t="shared" si="52"/>
        <v>200</v>
      </c>
      <c r="G469" s="16"/>
      <c r="H469" s="8">
        <f t="shared" si="53"/>
        <v>1245146.709477108</v>
      </c>
    </row>
    <row r="470" spans="2:8" x14ac:dyDescent="0.2">
      <c r="B470" s="51">
        <f t="shared" si="48"/>
        <v>460</v>
      </c>
      <c r="C470" s="8">
        <f t="shared" si="49"/>
        <v>1245146.709477108</v>
      </c>
      <c r="D470" s="9">
        <f t="shared" si="50"/>
        <v>10957.291043398551</v>
      </c>
      <c r="E470" s="9">
        <f t="shared" si="51"/>
        <v>1256104.0005205064</v>
      </c>
      <c r="F470" s="8">
        <f t="shared" si="52"/>
        <v>200</v>
      </c>
      <c r="G470" s="16"/>
      <c r="H470" s="8">
        <f t="shared" si="53"/>
        <v>1256304.0005205064</v>
      </c>
    </row>
    <row r="471" spans="2:8" x14ac:dyDescent="0.2">
      <c r="B471" s="51">
        <f t="shared" si="48"/>
        <v>461</v>
      </c>
      <c r="C471" s="8">
        <f t="shared" si="49"/>
        <v>1256304.0005205064</v>
      </c>
      <c r="D471" s="9">
        <f t="shared" si="50"/>
        <v>11055.475204580456</v>
      </c>
      <c r="E471" s="9">
        <f t="shared" si="51"/>
        <v>1267359.4757250869</v>
      </c>
      <c r="F471" s="8">
        <f t="shared" si="52"/>
        <v>200</v>
      </c>
      <c r="G471" s="16"/>
      <c r="H471" s="8">
        <f t="shared" si="53"/>
        <v>1267559.4757250869</v>
      </c>
    </row>
    <row r="472" spans="2:8" x14ac:dyDescent="0.2">
      <c r="B472" s="51">
        <f t="shared" si="48"/>
        <v>462</v>
      </c>
      <c r="C472" s="8">
        <f t="shared" si="49"/>
        <v>1267559.4757250869</v>
      </c>
      <c r="D472" s="9">
        <f t="shared" si="50"/>
        <v>11154.523386380764</v>
      </c>
      <c r="E472" s="9">
        <f t="shared" si="51"/>
        <v>1278713.9991114677</v>
      </c>
      <c r="F472" s="8">
        <f t="shared" si="52"/>
        <v>200</v>
      </c>
      <c r="G472" s="16"/>
      <c r="H472" s="8">
        <f t="shared" si="53"/>
        <v>1278913.9991114677</v>
      </c>
    </row>
    <row r="473" spans="2:8" x14ac:dyDescent="0.2">
      <c r="B473" s="51">
        <f t="shared" si="48"/>
        <v>463</v>
      </c>
      <c r="C473" s="8">
        <f t="shared" si="49"/>
        <v>1278913.9991114677</v>
      </c>
      <c r="D473" s="9">
        <f t="shared" si="50"/>
        <v>11254.443192180917</v>
      </c>
      <c r="E473" s="9">
        <f t="shared" si="51"/>
        <v>1290168.4423036487</v>
      </c>
      <c r="F473" s="8">
        <f t="shared" si="52"/>
        <v>200</v>
      </c>
      <c r="G473" s="16"/>
      <c r="H473" s="8">
        <f t="shared" si="53"/>
        <v>1290368.4423036487</v>
      </c>
    </row>
    <row r="474" spans="2:8" x14ac:dyDescent="0.2">
      <c r="B474" s="51">
        <f t="shared" si="48"/>
        <v>464</v>
      </c>
      <c r="C474" s="8">
        <f t="shared" si="49"/>
        <v>1290368.4423036487</v>
      </c>
      <c r="D474" s="9">
        <f t="shared" si="50"/>
        <v>11355.242292272109</v>
      </c>
      <c r="E474" s="9">
        <f t="shared" si="51"/>
        <v>1301723.6845959208</v>
      </c>
      <c r="F474" s="8">
        <f t="shared" si="52"/>
        <v>200</v>
      </c>
      <c r="G474" s="16"/>
      <c r="H474" s="8">
        <f t="shared" si="53"/>
        <v>1301923.6845959208</v>
      </c>
    </row>
    <row r="475" spans="2:8" x14ac:dyDescent="0.2">
      <c r="B475" s="51">
        <f t="shared" si="48"/>
        <v>465</v>
      </c>
      <c r="C475" s="8">
        <f t="shared" si="49"/>
        <v>1301923.6845959208</v>
      </c>
      <c r="D475" s="9">
        <f t="shared" si="50"/>
        <v>11456.928424444104</v>
      </c>
      <c r="E475" s="9">
        <f t="shared" si="51"/>
        <v>1313380.6130203649</v>
      </c>
      <c r="F475" s="8">
        <f t="shared" si="52"/>
        <v>200</v>
      </c>
      <c r="G475" s="16"/>
      <c r="H475" s="8">
        <f t="shared" si="53"/>
        <v>1313580.6130203649</v>
      </c>
    </row>
    <row r="476" spans="2:8" x14ac:dyDescent="0.2">
      <c r="B476" s="51">
        <f t="shared" si="48"/>
        <v>466</v>
      </c>
      <c r="C476" s="8">
        <f t="shared" si="49"/>
        <v>1313580.6130203649</v>
      </c>
      <c r="D476" s="9">
        <f t="shared" si="50"/>
        <v>11559.509394579212</v>
      </c>
      <c r="E476" s="9">
        <f t="shared" si="51"/>
        <v>1325140.122414944</v>
      </c>
      <c r="F476" s="8">
        <f t="shared" si="52"/>
        <v>200</v>
      </c>
      <c r="G476" s="16"/>
      <c r="H476" s="8">
        <f t="shared" si="53"/>
        <v>1325340.122414944</v>
      </c>
    </row>
    <row r="477" spans="2:8" x14ac:dyDescent="0.2">
      <c r="B477" s="51">
        <f t="shared" si="48"/>
        <v>467</v>
      </c>
      <c r="C477" s="8">
        <f t="shared" si="49"/>
        <v>1325340.122414944</v>
      </c>
      <c r="D477" s="9">
        <f t="shared" si="50"/>
        <v>11662.993077251507</v>
      </c>
      <c r="E477" s="9">
        <f t="shared" si="51"/>
        <v>1337003.1154921956</v>
      </c>
      <c r="F477" s="8">
        <f t="shared" si="52"/>
        <v>200</v>
      </c>
      <c r="G477" s="16"/>
      <c r="H477" s="8">
        <f t="shared" si="53"/>
        <v>1337203.1154921956</v>
      </c>
    </row>
    <row r="478" spans="2:8" x14ac:dyDescent="0.2">
      <c r="B478" s="51">
        <f t="shared" si="48"/>
        <v>468</v>
      </c>
      <c r="C478" s="8">
        <f t="shared" si="49"/>
        <v>1337203.1154921956</v>
      </c>
      <c r="D478" s="9">
        <f t="shared" si="50"/>
        <v>11767.387416331321</v>
      </c>
      <c r="E478" s="9">
        <f t="shared" si="51"/>
        <v>1348970.5029085269</v>
      </c>
      <c r="F478" s="8">
        <f t="shared" si="52"/>
        <v>200</v>
      </c>
      <c r="G478" s="16"/>
      <c r="H478" s="8">
        <f t="shared" si="53"/>
        <v>1349170.5029085269</v>
      </c>
    </row>
    <row r="479" spans="2:8" x14ac:dyDescent="0.2">
      <c r="B479" s="51">
        <f t="shared" si="48"/>
        <v>469</v>
      </c>
      <c r="C479" s="8">
        <f t="shared" si="49"/>
        <v>1349170.5029085269</v>
      </c>
      <c r="D479" s="9">
        <f t="shared" si="50"/>
        <v>11872.700425595038</v>
      </c>
      <c r="E479" s="9">
        <f t="shared" si="51"/>
        <v>1361043.203334122</v>
      </c>
      <c r="F479" s="8">
        <f t="shared" si="52"/>
        <v>200</v>
      </c>
      <c r="G479" s="16"/>
      <c r="H479" s="8">
        <f t="shared" si="53"/>
        <v>1361243.203334122</v>
      </c>
    </row>
    <row r="480" spans="2:8" x14ac:dyDescent="0.2">
      <c r="B480" s="51">
        <f t="shared" si="48"/>
        <v>470</v>
      </c>
      <c r="C480" s="8">
        <f t="shared" si="49"/>
        <v>1361243.203334122</v>
      </c>
      <c r="D480" s="9">
        <f t="shared" si="50"/>
        <v>11978.940189340274</v>
      </c>
      <c r="E480" s="9">
        <f t="shared" si="51"/>
        <v>1373222.1435234623</v>
      </c>
      <c r="F480" s="8">
        <f t="shared" si="52"/>
        <v>200</v>
      </c>
      <c r="G480" s="16"/>
      <c r="H480" s="8">
        <f t="shared" si="53"/>
        <v>1373422.1435234623</v>
      </c>
    </row>
    <row r="481" spans="2:8" x14ac:dyDescent="0.2">
      <c r="B481" s="51">
        <f t="shared" si="48"/>
        <v>471</v>
      </c>
      <c r="C481" s="8">
        <f t="shared" si="49"/>
        <v>1373422.1435234623</v>
      </c>
      <c r="D481" s="9">
        <f t="shared" si="50"/>
        <v>12086.114863006469</v>
      </c>
      <c r="E481" s="9">
        <f t="shared" si="51"/>
        <v>1385508.2583864687</v>
      </c>
      <c r="F481" s="8">
        <f t="shared" si="52"/>
        <v>200</v>
      </c>
      <c r="G481" s="16"/>
      <c r="H481" s="8">
        <f t="shared" si="53"/>
        <v>1385708.2583864687</v>
      </c>
    </row>
    <row r="482" spans="2:8" x14ac:dyDescent="0.2">
      <c r="B482" s="51">
        <f t="shared" si="48"/>
        <v>472</v>
      </c>
      <c r="C482" s="8">
        <f t="shared" si="49"/>
        <v>1385708.2583864687</v>
      </c>
      <c r="D482" s="9">
        <f t="shared" si="50"/>
        <v>12194.232673800925</v>
      </c>
      <c r="E482" s="9">
        <f t="shared" si="51"/>
        <v>1397902.4910602698</v>
      </c>
      <c r="F482" s="8">
        <f t="shared" si="52"/>
        <v>200</v>
      </c>
      <c r="G482" s="16"/>
      <c r="H482" s="8">
        <f t="shared" si="53"/>
        <v>1398102.4910602698</v>
      </c>
    </row>
    <row r="483" spans="2:8" x14ac:dyDescent="0.2">
      <c r="B483" s="51">
        <f t="shared" si="48"/>
        <v>473</v>
      </c>
      <c r="C483" s="8">
        <f t="shared" si="49"/>
        <v>1398102.4910602698</v>
      </c>
      <c r="D483" s="9">
        <f t="shared" si="50"/>
        <v>12303.301921330374</v>
      </c>
      <c r="E483" s="9">
        <f t="shared" si="51"/>
        <v>1410405.7929816002</v>
      </c>
      <c r="F483" s="8">
        <f t="shared" si="52"/>
        <v>200</v>
      </c>
      <c r="G483" s="16"/>
      <c r="H483" s="8">
        <f t="shared" si="53"/>
        <v>1410605.7929816002</v>
      </c>
    </row>
    <row r="484" spans="2:8" x14ac:dyDescent="0.2">
      <c r="B484" s="51">
        <f t="shared" si="48"/>
        <v>474</v>
      </c>
      <c r="C484" s="8">
        <f t="shared" si="49"/>
        <v>1410605.7929816002</v>
      </c>
      <c r="D484" s="9">
        <f t="shared" si="50"/>
        <v>12413.330978238082</v>
      </c>
      <c r="E484" s="9">
        <f t="shared" si="51"/>
        <v>1423019.1239598382</v>
      </c>
      <c r="F484" s="8">
        <f t="shared" si="52"/>
        <v>200</v>
      </c>
      <c r="G484" s="16"/>
      <c r="H484" s="8">
        <f t="shared" si="53"/>
        <v>1423219.1239598382</v>
      </c>
    </row>
    <row r="485" spans="2:8" x14ac:dyDescent="0.2">
      <c r="B485" s="51">
        <f t="shared" si="48"/>
        <v>475</v>
      </c>
      <c r="C485" s="8">
        <f t="shared" si="49"/>
        <v>1423219.1239598382</v>
      </c>
      <c r="D485" s="9">
        <f t="shared" si="50"/>
        <v>12524.328290846577</v>
      </c>
      <c r="E485" s="9">
        <f t="shared" si="51"/>
        <v>1435743.4522506848</v>
      </c>
      <c r="F485" s="8">
        <f t="shared" si="52"/>
        <v>200</v>
      </c>
      <c r="G485" s="16"/>
      <c r="H485" s="8">
        <f t="shared" si="53"/>
        <v>1435943.4522506848</v>
      </c>
    </row>
    <row r="486" spans="2:8" x14ac:dyDescent="0.2">
      <c r="B486" s="51">
        <f t="shared" si="48"/>
        <v>476</v>
      </c>
      <c r="C486" s="8">
        <f t="shared" si="49"/>
        <v>1435943.4522506848</v>
      </c>
      <c r="D486" s="9">
        <f t="shared" si="50"/>
        <v>12636.302379806028</v>
      </c>
      <c r="E486" s="9">
        <f t="shared" si="51"/>
        <v>1448579.7546304909</v>
      </c>
      <c r="F486" s="8">
        <f t="shared" si="52"/>
        <v>200</v>
      </c>
      <c r="G486" s="16"/>
      <c r="H486" s="8">
        <f t="shared" si="53"/>
        <v>1448779.7546304909</v>
      </c>
    </row>
    <row r="487" spans="2:8" x14ac:dyDescent="0.2">
      <c r="B487" s="51">
        <f t="shared" si="48"/>
        <v>477</v>
      </c>
      <c r="C487" s="8">
        <f t="shared" si="49"/>
        <v>1448779.7546304909</v>
      </c>
      <c r="D487" s="9">
        <f t="shared" si="50"/>
        <v>12749.261840748321</v>
      </c>
      <c r="E487" s="9">
        <f t="shared" si="51"/>
        <v>1461529.0164712393</v>
      </c>
      <c r="F487" s="8">
        <f t="shared" si="52"/>
        <v>200</v>
      </c>
      <c r="G487" s="16"/>
      <c r="H487" s="8">
        <f t="shared" si="53"/>
        <v>1461729.0164712393</v>
      </c>
    </row>
    <row r="488" spans="2:8" x14ac:dyDescent="0.2">
      <c r="B488" s="51">
        <f t="shared" si="48"/>
        <v>478</v>
      </c>
      <c r="C488" s="8">
        <f t="shared" si="49"/>
        <v>1461729.0164712393</v>
      </c>
      <c r="D488" s="9">
        <f t="shared" si="50"/>
        <v>12863.215344946906</v>
      </c>
      <c r="E488" s="9">
        <f t="shared" si="51"/>
        <v>1474592.2318161861</v>
      </c>
      <c r="F488" s="8">
        <f t="shared" si="52"/>
        <v>200</v>
      </c>
      <c r="G488" s="16"/>
      <c r="H488" s="8">
        <f t="shared" si="53"/>
        <v>1474792.2318161861</v>
      </c>
    </row>
    <row r="489" spans="2:8" x14ac:dyDescent="0.2">
      <c r="B489" s="51">
        <f t="shared" si="48"/>
        <v>479</v>
      </c>
      <c r="C489" s="8">
        <f t="shared" si="49"/>
        <v>1474792.2318161861</v>
      </c>
      <c r="D489" s="9">
        <f t="shared" si="50"/>
        <v>12978.171639982438</v>
      </c>
      <c r="E489" s="9">
        <f t="shared" si="51"/>
        <v>1487770.4034561685</v>
      </c>
      <c r="F489" s="8">
        <f t="shared" si="52"/>
        <v>200</v>
      </c>
      <c r="G489" s="16"/>
      <c r="H489" s="8">
        <f t="shared" si="53"/>
        <v>1487970.4034561685</v>
      </c>
    </row>
    <row r="490" spans="2:8" x14ac:dyDescent="0.2">
      <c r="B490" s="51">
        <f t="shared" si="48"/>
        <v>480</v>
      </c>
      <c r="C490" s="8">
        <f t="shared" si="49"/>
        <v>1487970.4034561685</v>
      </c>
      <c r="D490" s="9">
        <f t="shared" si="50"/>
        <v>13094.139550414284</v>
      </c>
      <c r="E490" s="9">
        <f t="shared" si="51"/>
        <v>1501064.5430065827</v>
      </c>
      <c r="F490" s="8">
        <f t="shared" si="52"/>
        <v>200</v>
      </c>
      <c r="G490" s="16"/>
      <c r="H490" s="8">
        <f t="shared" si="53"/>
        <v>1501264.5430065827</v>
      </c>
    </row>
    <row r="491" spans="2:8" x14ac:dyDescent="0.2">
      <c r="B491" s="51">
        <f t="shared" si="48"/>
        <v>0</v>
      </c>
      <c r="C491" s="8">
        <f t="shared" si="49"/>
        <v>0</v>
      </c>
      <c r="D491" s="9">
        <f t="shared" si="50"/>
        <v>0</v>
      </c>
      <c r="E491" s="9">
        <f t="shared" si="51"/>
        <v>0</v>
      </c>
      <c r="F491" s="8">
        <f t="shared" si="52"/>
        <v>0</v>
      </c>
      <c r="G491" s="16"/>
      <c r="H491" s="8">
        <f t="shared" si="53"/>
        <v>0</v>
      </c>
    </row>
    <row r="492" spans="2:8" x14ac:dyDescent="0.2">
      <c r="B492" s="51">
        <f t="shared" si="48"/>
        <v>0</v>
      </c>
      <c r="C492" s="8">
        <f t="shared" si="49"/>
        <v>0</v>
      </c>
      <c r="D492" s="9">
        <f t="shared" si="50"/>
        <v>0</v>
      </c>
      <c r="E492" s="9">
        <f t="shared" si="51"/>
        <v>0</v>
      </c>
      <c r="F492" s="8">
        <f t="shared" si="52"/>
        <v>0</v>
      </c>
      <c r="G492" s="16"/>
      <c r="H492" s="8">
        <f t="shared" si="53"/>
        <v>0</v>
      </c>
    </row>
    <row r="493" spans="2:8" x14ac:dyDescent="0.2">
      <c r="B493" s="51">
        <f t="shared" si="48"/>
        <v>0</v>
      </c>
      <c r="C493" s="8">
        <f t="shared" si="49"/>
        <v>0</v>
      </c>
      <c r="D493" s="9">
        <f t="shared" si="50"/>
        <v>0</v>
      </c>
      <c r="E493" s="9">
        <f t="shared" si="51"/>
        <v>0</v>
      </c>
      <c r="F493" s="8">
        <f t="shared" si="52"/>
        <v>0</v>
      </c>
      <c r="G493" s="16"/>
      <c r="H493" s="8">
        <f t="shared" si="53"/>
        <v>0</v>
      </c>
    </row>
    <row r="494" spans="2:8" x14ac:dyDescent="0.2">
      <c r="B494" s="51">
        <f t="shared" si="48"/>
        <v>0</v>
      </c>
      <c r="C494" s="8">
        <f t="shared" si="49"/>
        <v>0</v>
      </c>
      <c r="D494" s="9">
        <f t="shared" si="50"/>
        <v>0</v>
      </c>
      <c r="E494" s="9">
        <f t="shared" si="51"/>
        <v>0</v>
      </c>
      <c r="F494" s="8">
        <f t="shared" si="52"/>
        <v>0</v>
      </c>
      <c r="G494" s="16"/>
      <c r="H494" s="8">
        <f t="shared" si="53"/>
        <v>0</v>
      </c>
    </row>
    <row r="495" spans="2:8" x14ac:dyDescent="0.2">
      <c r="B495" s="51">
        <f t="shared" si="48"/>
        <v>0</v>
      </c>
      <c r="C495" s="8">
        <f t="shared" si="49"/>
        <v>0</v>
      </c>
      <c r="D495" s="9">
        <f t="shared" si="50"/>
        <v>0</v>
      </c>
      <c r="E495" s="9">
        <f t="shared" si="51"/>
        <v>0</v>
      </c>
      <c r="F495" s="8">
        <f t="shared" si="52"/>
        <v>0</v>
      </c>
      <c r="G495" s="16"/>
      <c r="H495" s="8">
        <f t="shared" si="53"/>
        <v>0</v>
      </c>
    </row>
    <row r="496" spans="2:8" x14ac:dyDescent="0.2">
      <c r="B496" s="51">
        <f t="shared" si="48"/>
        <v>0</v>
      </c>
      <c r="C496" s="8">
        <f t="shared" si="49"/>
        <v>0</v>
      </c>
      <c r="D496" s="9">
        <f t="shared" si="50"/>
        <v>0</v>
      </c>
      <c r="E496" s="9">
        <f t="shared" si="51"/>
        <v>0</v>
      </c>
      <c r="F496" s="8">
        <f t="shared" si="52"/>
        <v>0</v>
      </c>
      <c r="G496" s="16"/>
      <c r="H496" s="8">
        <f t="shared" si="53"/>
        <v>0</v>
      </c>
    </row>
    <row r="497" spans="2:8" x14ac:dyDescent="0.2">
      <c r="B497" s="51">
        <f t="shared" si="48"/>
        <v>0</v>
      </c>
      <c r="C497" s="8">
        <f t="shared" si="49"/>
        <v>0</v>
      </c>
      <c r="D497" s="9">
        <f t="shared" si="50"/>
        <v>0</v>
      </c>
      <c r="E497" s="9">
        <f t="shared" si="51"/>
        <v>0</v>
      </c>
      <c r="F497" s="8">
        <f t="shared" si="52"/>
        <v>0</v>
      </c>
      <c r="G497" s="16"/>
      <c r="H497" s="8">
        <f t="shared" si="53"/>
        <v>0</v>
      </c>
    </row>
    <row r="498" spans="2:8" x14ac:dyDescent="0.2">
      <c r="B498" s="51">
        <f t="shared" si="48"/>
        <v>0</v>
      </c>
      <c r="C498" s="8">
        <f t="shared" si="49"/>
        <v>0</v>
      </c>
      <c r="D498" s="9">
        <f t="shared" si="50"/>
        <v>0</v>
      </c>
      <c r="E498" s="9">
        <f t="shared" si="51"/>
        <v>0</v>
      </c>
      <c r="F498" s="8">
        <f t="shared" si="52"/>
        <v>0</v>
      </c>
      <c r="G498" s="16"/>
      <c r="H498" s="8">
        <f t="shared" si="53"/>
        <v>0</v>
      </c>
    </row>
    <row r="499" spans="2:8" x14ac:dyDescent="0.2">
      <c r="B499" s="51">
        <f t="shared" ref="B499:B562" si="54">IF(AND(B498&gt;0,B498&lt;E$8),B498+1,0)</f>
        <v>0</v>
      </c>
      <c r="C499" s="8">
        <f t="shared" ref="C499:C562" si="55">IF(B499&gt;0,H498,0)</f>
        <v>0</v>
      </c>
      <c r="D499" s="9">
        <f t="shared" ref="D499:D562" si="56">IF(B499&gt;0,C499*$F$8,0)</f>
        <v>0</v>
      </c>
      <c r="E499" s="9">
        <f t="shared" ref="E499:E562" si="57">IF(B499&gt;0,C499+D499,0)</f>
        <v>0</v>
      </c>
      <c r="F499" s="8">
        <f t="shared" ref="F499:F562" si="58">IF(B499&gt;0,$D$8,0)</f>
        <v>0</v>
      </c>
      <c r="G499" s="16"/>
      <c r="H499" s="8">
        <f t="shared" ref="H499:H562" si="59">IF(B499&gt;0,E499+F499+G499,0)</f>
        <v>0</v>
      </c>
    </row>
    <row r="500" spans="2:8" x14ac:dyDescent="0.2">
      <c r="B500" s="51">
        <f t="shared" si="54"/>
        <v>0</v>
      </c>
      <c r="C500" s="8">
        <f t="shared" si="55"/>
        <v>0</v>
      </c>
      <c r="D500" s="9">
        <f t="shared" si="56"/>
        <v>0</v>
      </c>
      <c r="E500" s="9">
        <f t="shared" si="57"/>
        <v>0</v>
      </c>
      <c r="F500" s="8">
        <f t="shared" si="58"/>
        <v>0</v>
      </c>
      <c r="G500" s="16"/>
      <c r="H500" s="8">
        <f t="shared" si="59"/>
        <v>0</v>
      </c>
    </row>
    <row r="501" spans="2:8" x14ac:dyDescent="0.2">
      <c r="B501" s="51">
        <f t="shared" si="54"/>
        <v>0</v>
      </c>
      <c r="C501" s="8">
        <f t="shared" si="55"/>
        <v>0</v>
      </c>
      <c r="D501" s="9">
        <f t="shared" si="56"/>
        <v>0</v>
      </c>
      <c r="E501" s="9">
        <f t="shared" si="57"/>
        <v>0</v>
      </c>
      <c r="F501" s="8">
        <f t="shared" si="58"/>
        <v>0</v>
      </c>
      <c r="G501" s="16"/>
      <c r="H501" s="8">
        <f t="shared" si="59"/>
        <v>0</v>
      </c>
    </row>
    <row r="502" spans="2:8" x14ac:dyDescent="0.2">
      <c r="B502" s="51">
        <f t="shared" si="54"/>
        <v>0</v>
      </c>
      <c r="C502" s="8">
        <f t="shared" si="55"/>
        <v>0</v>
      </c>
      <c r="D502" s="9">
        <f t="shared" si="56"/>
        <v>0</v>
      </c>
      <c r="E502" s="9">
        <f t="shared" si="57"/>
        <v>0</v>
      </c>
      <c r="F502" s="8">
        <f t="shared" si="58"/>
        <v>0</v>
      </c>
      <c r="G502" s="16"/>
      <c r="H502" s="8">
        <f t="shared" si="59"/>
        <v>0</v>
      </c>
    </row>
    <row r="503" spans="2:8" x14ac:dyDescent="0.2">
      <c r="B503" s="51">
        <f t="shared" si="54"/>
        <v>0</v>
      </c>
      <c r="C503" s="8">
        <f t="shared" si="55"/>
        <v>0</v>
      </c>
      <c r="D503" s="9">
        <f t="shared" si="56"/>
        <v>0</v>
      </c>
      <c r="E503" s="9">
        <f t="shared" si="57"/>
        <v>0</v>
      </c>
      <c r="F503" s="8">
        <f t="shared" si="58"/>
        <v>0</v>
      </c>
      <c r="G503" s="16"/>
      <c r="H503" s="8">
        <f t="shared" si="59"/>
        <v>0</v>
      </c>
    </row>
    <row r="504" spans="2:8" x14ac:dyDescent="0.2">
      <c r="B504" s="51">
        <f t="shared" si="54"/>
        <v>0</v>
      </c>
      <c r="C504" s="8">
        <f t="shared" si="55"/>
        <v>0</v>
      </c>
      <c r="D504" s="9">
        <f t="shared" si="56"/>
        <v>0</v>
      </c>
      <c r="E504" s="9">
        <f t="shared" si="57"/>
        <v>0</v>
      </c>
      <c r="F504" s="8">
        <f t="shared" si="58"/>
        <v>0</v>
      </c>
      <c r="G504" s="16"/>
      <c r="H504" s="8">
        <f t="shared" si="59"/>
        <v>0</v>
      </c>
    </row>
    <row r="505" spans="2:8" x14ac:dyDescent="0.2">
      <c r="B505" s="51">
        <f t="shared" si="54"/>
        <v>0</v>
      </c>
      <c r="C505" s="8">
        <f t="shared" si="55"/>
        <v>0</v>
      </c>
      <c r="D505" s="9">
        <f t="shared" si="56"/>
        <v>0</v>
      </c>
      <c r="E505" s="9">
        <f t="shared" si="57"/>
        <v>0</v>
      </c>
      <c r="F505" s="8">
        <f t="shared" si="58"/>
        <v>0</v>
      </c>
      <c r="G505" s="16"/>
      <c r="H505" s="8">
        <f t="shared" si="59"/>
        <v>0</v>
      </c>
    </row>
    <row r="506" spans="2:8" x14ac:dyDescent="0.2">
      <c r="B506" s="51">
        <f t="shared" si="54"/>
        <v>0</v>
      </c>
      <c r="C506" s="8">
        <f t="shared" si="55"/>
        <v>0</v>
      </c>
      <c r="D506" s="9">
        <f t="shared" si="56"/>
        <v>0</v>
      </c>
      <c r="E506" s="9">
        <f t="shared" si="57"/>
        <v>0</v>
      </c>
      <c r="F506" s="8">
        <f t="shared" si="58"/>
        <v>0</v>
      </c>
      <c r="G506" s="16"/>
      <c r="H506" s="8">
        <f t="shared" si="59"/>
        <v>0</v>
      </c>
    </row>
    <row r="507" spans="2:8" x14ac:dyDescent="0.2">
      <c r="B507" s="51">
        <f t="shared" si="54"/>
        <v>0</v>
      </c>
      <c r="C507" s="8">
        <f t="shared" si="55"/>
        <v>0</v>
      </c>
      <c r="D507" s="9">
        <f t="shared" si="56"/>
        <v>0</v>
      </c>
      <c r="E507" s="9">
        <f t="shared" si="57"/>
        <v>0</v>
      </c>
      <c r="F507" s="8">
        <f t="shared" si="58"/>
        <v>0</v>
      </c>
      <c r="G507" s="16"/>
      <c r="H507" s="8">
        <f t="shared" si="59"/>
        <v>0</v>
      </c>
    </row>
    <row r="508" spans="2:8" x14ac:dyDescent="0.2">
      <c r="B508" s="51">
        <f t="shared" si="54"/>
        <v>0</v>
      </c>
      <c r="C508" s="8">
        <f t="shared" si="55"/>
        <v>0</v>
      </c>
      <c r="D508" s="9">
        <f t="shared" si="56"/>
        <v>0</v>
      </c>
      <c r="E508" s="9">
        <f t="shared" si="57"/>
        <v>0</v>
      </c>
      <c r="F508" s="8">
        <f t="shared" si="58"/>
        <v>0</v>
      </c>
      <c r="G508" s="16"/>
      <c r="H508" s="8">
        <f t="shared" si="59"/>
        <v>0</v>
      </c>
    </row>
    <row r="509" spans="2:8" x14ac:dyDescent="0.2">
      <c r="B509" s="51">
        <f t="shared" si="54"/>
        <v>0</v>
      </c>
      <c r="C509" s="8">
        <f t="shared" si="55"/>
        <v>0</v>
      </c>
      <c r="D509" s="9">
        <f t="shared" si="56"/>
        <v>0</v>
      </c>
      <c r="E509" s="9">
        <f t="shared" si="57"/>
        <v>0</v>
      </c>
      <c r="F509" s="8">
        <f t="shared" si="58"/>
        <v>0</v>
      </c>
      <c r="G509" s="16"/>
      <c r="H509" s="8">
        <f t="shared" si="59"/>
        <v>0</v>
      </c>
    </row>
    <row r="510" spans="2:8" x14ac:dyDescent="0.2">
      <c r="B510" s="51">
        <f t="shared" si="54"/>
        <v>0</v>
      </c>
      <c r="C510" s="8">
        <f t="shared" si="55"/>
        <v>0</v>
      </c>
      <c r="D510" s="9">
        <f t="shared" si="56"/>
        <v>0</v>
      </c>
      <c r="E510" s="9">
        <f t="shared" si="57"/>
        <v>0</v>
      </c>
      <c r="F510" s="8">
        <f t="shared" si="58"/>
        <v>0</v>
      </c>
      <c r="G510" s="16"/>
      <c r="H510" s="8">
        <f t="shared" si="59"/>
        <v>0</v>
      </c>
    </row>
    <row r="511" spans="2:8" x14ac:dyDescent="0.2">
      <c r="B511" s="51">
        <f t="shared" si="54"/>
        <v>0</v>
      </c>
      <c r="C511" s="8">
        <f t="shared" si="55"/>
        <v>0</v>
      </c>
      <c r="D511" s="9">
        <f t="shared" si="56"/>
        <v>0</v>
      </c>
      <c r="E511" s="9">
        <f t="shared" si="57"/>
        <v>0</v>
      </c>
      <c r="F511" s="8">
        <f t="shared" si="58"/>
        <v>0</v>
      </c>
      <c r="G511" s="16"/>
      <c r="H511" s="8">
        <f t="shared" si="59"/>
        <v>0</v>
      </c>
    </row>
    <row r="512" spans="2:8" x14ac:dyDescent="0.2">
      <c r="B512" s="51">
        <f t="shared" si="54"/>
        <v>0</v>
      </c>
      <c r="C512" s="8">
        <f t="shared" si="55"/>
        <v>0</v>
      </c>
      <c r="D512" s="9">
        <f t="shared" si="56"/>
        <v>0</v>
      </c>
      <c r="E512" s="9">
        <f t="shared" si="57"/>
        <v>0</v>
      </c>
      <c r="F512" s="8">
        <f t="shared" si="58"/>
        <v>0</v>
      </c>
      <c r="G512" s="16"/>
      <c r="H512" s="8">
        <f t="shared" si="59"/>
        <v>0</v>
      </c>
    </row>
    <row r="513" spans="2:8" x14ac:dyDescent="0.2">
      <c r="B513" s="51">
        <f t="shared" si="54"/>
        <v>0</v>
      </c>
      <c r="C513" s="8">
        <f t="shared" si="55"/>
        <v>0</v>
      </c>
      <c r="D513" s="9">
        <f t="shared" si="56"/>
        <v>0</v>
      </c>
      <c r="E513" s="9">
        <f t="shared" si="57"/>
        <v>0</v>
      </c>
      <c r="F513" s="8">
        <f t="shared" si="58"/>
        <v>0</v>
      </c>
      <c r="G513" s="16"/>
      <c r="H513" s="8">
        <f t="shared" si="59"/>
        <v>0</v>
      </c>
    </row>
    <row r="514" spans="2:8" x14ac:dyDescent="0.2">
      <c r="B514" s="51">
        <f t="shared" si="54"/>
        <v>0</v>
      </c>
      <c r="C514" s="8">
        <f t="shared" si="55"/>
        <v>0</v>
      </c>
      <c r="D514" s="9">
        <f t="shared" si="56"/>
        <v>0</v>
      </c>
      <c r="E514" s="9">
        <f t="shared" si="57"/>
        <v>0</v>
      </c>
      <c r="F514" s="8">
        <f t="shared" si="58"/>
        <v>0</v>
      </c>
      <c r="G514" s="16"/>
      <c r="H514" s="8">
        <f t="shared" si="59"/>
        <v>0</v>
      </c>
    </row>
    <row r="515" spans="2:8" x14ac:dyDescent="0.2">
      <c r="B515" s="51">
        <f t="shared" si="54"/>
        <v>0</v>
      </c>
      <c r="C515" s="8">
        <f t="shared" si="55"/>
        <v>0</v>
      </c>
      <c r="D515" s="9">
        <f t="shared" si="56"/>
        <v>0</v>
      </c>
      <c r="E515" s="9">
        <f t="shared" si="57"/>
        <v>0</v>
      </c>
      <c r="F515" s="8">
        <f t="shared" si="58"/>
        <v>0</v>
      </c>
      <c r="G515" s="16"/>
      <c r="H515" s="8">
        <f t="shared" si="59"/>
        <v>0</v>
      </c>
    </row>
    <row r="516" spans="2:8" x14ac:dyDescent="0.2">
      <c r="B516" s="51">
        <f t="shared" si="54"/>
        <v>0</v>
      </c>
      <c r="C516" s="8">
        <f t="shared" si="55"/>
        <v>0</v>
      </c>
      <c r="D516" s="9">
        <f t="shared" si="56"/>
        <v>0</v>
      </c>
      <c r="E516" s="9">
        <f t="shared" si="57"/>
        <v>0</v>
      </c>
      <c r="F516" s="8">
        <f t="shared" si="58"/>
        <v>0</v>
      </c>
      <c r="G516" s="16"/>
      <c r="H516" s="8">
        <f t="shared" si="59"/>
        <v>0</v>
      </c>
    </row>
    <row r="517" spans="2:8" x14ac:dyDescent="0.2">
      <c r="B517" s="51">
        <f t="shared" si="54"/>
        <v>0</v>
      </c>
      <c r="C517" s="8">
        <f t="shared" si="55"/>
        <v>0</v>
      </c>
      <c r="D517" s="9">
        <f t="shared" si="56"/>
        <v>0</v>
      </c>
      <c r="E517" s="9">
        <f t="shared" si="57"/>
        <v>0</v>
      </c>
      <c r="F517" s="8">
        <f t="shared" si="58"/>
        <v>0</v>
      </c>
      <c r="G517" s="16"/>
      <c r="H517" s="8">
        <f t="shared" si="59"/>
        <v>0</v>
      </c>
    </row>
    <row r="518" spans="2:8" x14ac:dyDescent="0.2">
      <c r="B518" s="51">
        <f t="shared" si="54"/>
        <v>0</v>
      </c>
      <c r="C518" s="8">
        <f t="shared" si="55"/>
        <v>0</v>
      </c>
      <c r="D518" s="9">
        <f t="shared" si="56"/>
        <v>0</v>
      </c>
      <c r="E518" s="9">
        <f t="shared" si="57"/>
        <v>0</v>
      </c>
      <c r="F518" s="8">
        <f t="shared" si="58"/>
        <v>0</v>
      </c>
      <c r="G518" s="16"/>
      <c r="H518" s="8">
        <f t="shared" si="59"/>
        <v>0</v>
      </c>
    </row>
    <row r="519" spans="2:8" x14ac:dyDescent="0.2">
      <c r="B519" s="51">
        <f t="shared" si="54"/>
        <v>0</v>
      </c>
      <c r="C519" s="8">
        <f t="shared" si="55"/>
        <v>0</v>
      </c>
      <c r="D519" s="9">
        <f t="shared" si="56"/>
        <v>0</v>
      </c>
      <c r="E519" s="9">
        <f t="shared" si="57"/>
        <v>0</v>
      </c>
      <c r="F519" s="8">
        <f t="shared" si="58"/>
        <v>0</v>
      </c>
      <c r="G519" s="16"/>
      <c r="H519" s="8">
        <f t="shared" si="59"/>
        <v>0</v>
      </c>
    </row>
    <row r="520" spans="2:8" x14ac:dyDescent="0.2">
      <c r="B520" s="51">
        <f t="shared" si="54"/>
        <v>0</v>
      </c>
      <c r="C520" s="8">
        <f t="shared" si="55"/>
        <v>0</v>
      </c>
      <c r="D520" s="9">
        <f t="shared" si="56"/>
        <v>0</v>
      </c>
      <c r="E520" s="9">
        <f t="shared" si="57"/>
        <v>0</v>
      </c>
      <c r="F520" s="8">
        <f t="shared" si="58"/>
        <v>0</v>
      </c>
      <c r="G520" s="16"/>
      <c r="H520" s="8">
        <f t="shared" si="59"/>
        <v>0</v>
      </c>
    </row>
    <row r="521" spans="2:8" x14ac:dyDescent="0.2">
      <c r="B521" s="51">
        <f t="shared" si="54"/>
        <v>0</v>
      </c>
      <c r="C521" s="8">
        <f t="shared" si="55"/>
        <v>0</v>
      </c>
      <c r="D521" s="9">
        <f t="shared" si="56"/>
        <v>0</v>
      </c>
      <c r="E521" s="9">
        <f t="shared" si="57"/>
        <v>0</v>
      </c>
      <c r="F521" s="8">
        <f t="shared" si="58"/>
        <v>0</v>
      </c>
      <c r="G521" s="16"/>
      <c r="H521" s="8">
        <f t="shared" si="59"/>
        <v>0</v>
      </c>
    </row>
    <row r="522" spans="2:8" x14ac:dyDescent="0.2">
      <c r="B522" s="51">
        <f t="shared" si="54"/>
        <v>0</v>
      </c>
      <c r="C522" s="8">
        <f t="shared" si="55"/>
        <v>0</v>
      </c>
      <c r="D522" s="9">
        <f t="shared" si="56"/>
        <v>0</v>
      </c>
      <c r="E522" s="9">
        <f t="shared" si="57"/>
        <v>0</v>
      </c>
      <c r="F522" s="8">
        <f t="shared" si="58"/>
        <v>0</v>
      </c>
      <c r="G522" s="16"/>
      <c r="H522" s="8">
        <f t="shared" si="59"/>
        <v>0</v>
      </c>
    </row>
    <row r="523" spans="2:8" x14ac:dyDescent="0.2">
      <c r="B523" s="51">
        <f t="shared" si="54"/>
        <v>0</v>
      </c>
      <c r="C523" s="8">
        <f t="shared" si="55"/>
        <v>0</v>
      </c>
      <c r="D523" s="9">
        <f t="shared" si="56"/>
        <v>0</v>
      </c>
      <c r="E523" s="9">
        <f t="shared" si="57"/>
        <v>0</v>
      </c>
      <c r="F523" s="8">
        <f t="shared" si="58"/>
        <v>0</v>
      </c>
      <c r="G523" s="16"/>
      <c r="H523" s="8">
        <f t="shared" si="59"/>
        <v>0</v>
      </c>
    </row>
    <row r="524" spans="2:8" x14ac:dyDescent="0.2">
      <c r="B524" s="51">
        <f t="shared" si="54"/>
        <v>0</v>
      </c>
      <c r="C524" s="8">
        <f t="shared" si="55"/>
        <v>0</v>
      </c>
      <c r="D524" s="9">
        <f t="shared" si="56"/>
        <v>0</v>
      </c>
      <c r="E524" s="9">
        <f t="shared" si="57"/>
        <v>0</v>
      </c>
      <c r="F524" s="8">
        <f t="shared" si="58"/>
        <v>0</v>
      </c>
      <c r="G524" s="16"/>
      <c r="H524" s="8">
        <f t="shared" si="59"/>
        <v>0</v>
      </c>
    </row>
    <row r="525" spans="2:8" x14ac:dyDescent="0.2">
      <c r="B525" s="51">
        <f t="shared" si="54"/>
        <v>0</v>
      </c>
      <c r="C525" s="8">
        <f t="shared" si="55"/>
        <v>0</v>
      </c>
      <c r="D525" s="9">
        <f t="shared" si="56"/>
        <v>0</v>
      </c>
      <c r="E525" s="9">
        <f t="shared" si="57"/>
        <v>0</v>
      </c>
      <c r="F525" s="8">
        <f t="shared" si="58"/>
        <v>0</v>
      </c>
      <c r="G525" s="16"/>
      <c r="H525" s="8">
        <f t="shared" si="59"/>
        <v>0</v>
      </c>
    </row>
    <row r="526" spans="2:8" x14ac:dyDescent="0.2">
      <c r="B526" s="51">
        <f t="shared" si="54"/>
        <v>0</v>
      </c>
      <c r="C526" s="8">
        <f t="shared" si="55"/>
        <v>0</v>
      </c>
      <c r="D526" s="9">
        <f t="shared" si="56"/>
        <v>0</v>
      </c>
      <c r="E526" s="9">
        <f t="shared" si="57"/>
        <v>0</v>
      </c>
      <c r="F526" s="8">
        <f t="shared" si="58"/>
        <v>0</v>
      </c>
      <c r="G526" s="16"/>
      <c r="H526" s="8">
        <f t="shared" si="59"/>
        <v>0</v>
      </c>
    </row>
    <row r="527" spans="2:8" x14ac:dyDescent="0.2">
      <c r="B527" s="51">
        <f t="shared" si="54"/>
        <v>0</v>
      </c>
      <c r="C527" s="8">
        <f t="shared" si="55"/>
        <v>0</v>
      </c>
      <c r="D527" s="9">
        <f t="shared" si="56"/>
        <v>0</v>
      </c>
      <c r="E527" s="9">
        <f t="shared" si="57"/>
        <v>0</v>
      </c>
      <c r="F527" s="8">
        <f t="shared" si="58"/>
        <v>0</v>
      </c>
      <c r="G527" s="16"/>
      <c r="H527" s="8">
        <f t="shared" si="59"/>
        <v>0</v>
      </c>
    </row>
    <row r="528" spans="2:8" x14ac:dyDescent="0.2">
      <c r="B528" s="51">
        <f t="shared" si="54"/>
        <v>0</v>
      </c>
      <c r="C528" s="8">
        <f t="shared" si="55"/>
        <v>0</v>
      </c>
      <c r="D528" s="9">
        <f t="shared" si="56"/>
        <v>0</v>
      </c>
      <c r="E528" s="9">
        <f t="shared" si="57"/>
        <v>0</v>
      </c>
      <c r="F528" s="8">
        <f t="shared" si="58"/>
        <v>0</v>
      </c>
      <c r="G528" s="16"/>
      <c r="H528" s="8">
        <f t="shared" si="59"/>
        <v>0</v>
      </c>
    </row>
    <row r="529" spans="2:8" x14ac:dyDescent="0.2">
      <c r="B529" s="51">
        <f t="shared" si="54"/>
        <v>0</v>
      </c>
      <c r="C529" s="8">
        <f t="shared" si="55"/>
        <v>0</v>
      </c>
      <c r="D529" s="9">
        <f t="shared" si="56"/>
        <v>0</v>
      </c>
      <c r="E529" s="9">
        <f t="shared" si="57"/>
        <v>0</v>
      </c>
      <c r="F529" s="8">
        <f t="shared" si="58"/>
        <v>0</v>
      </c>
      <c r="G529" s="16"/>
      <c r="H529" s="8">
        <f t="shared" si="59"/>
        <v>0</v>
      </c>
    </row>
    <row r="530" spans="2:8" x14ac:dyDescent="0.2">
      <c r="B530" s="51">
        <f t="shared" si="54"/>
        <v>0</v>
      </c>
      <c r="C530" s="8">
        <f t="shared" si="55"/>
        <v>0</v>
      </c>
      <c r="D530" s="9">
        <f t="shared" si="56"/>
        <v>0</v>
      </c>
      <c r="E530" s="9">
        <f t="shared" si="57"/>
        <v>0</v>
      </c>
      <c r="F530" s="8">
        <f t="shared" si="58"/>
        <v>0</v>
      </c>
      <c r="G530" s="16"/>
      <c r="H530" s="8">
        <f t="shared" si="59"/>
        <v>0</v>
      </c>
    </row>
    <row r="531" spans="2:8" x14ac:dyDescent="0.2">
      <c r="B531" s="51">
        <f t="shared" si="54"/>
        <v>0</v>
      </c>
      <c r="C531" s="8">
        <f t="shared" si="55"/>
        <v>0</v>
      </c>
      <c r="D531" s="9">
        <f t="shared" si="56"/>
        <v>0</v>
      </c>
      <c r="E531" s="9">
        <f t="shared" si="57"/>
        <v>0</v>
      </c>
      <c r="F531" s="8">
        <f t="shared" si="58"/>
        <v>0</v>
      </c>
      <c r="G531" s="16"/>
      <c r="H531" s="8">
        <f t="shared" si="59"/>
        <v>0</v>
      </c>
    </row>
    <row r="532" spans="2:8" x14ac:dyDescent="0.2">
      <c r="B532" s="51">
        <f t="shared" si="54"/>
        <v>0</v>
      </c>
      <c r="C532" s="8">
        <f t="shared" si="55"/>
        <v>0</v>
      </c>
      <c r="D532" s="9">
        <f t="shared" si="56"/>
        <v>0</v>
      </c>
      <c r="E532" s="9">
        <f t="shared" si="57"/>
        <v>0</v>
      </c>
      <c r="F532" s="8">
        <f t="shared" si="58"/>
        <v>0</v>
      </c>
      <c r="G532" s="16"/>
      <c r="H532" s="8">
        <f t="shared" si="59"/>
        <v>0</v>
      </c>
    </row>
    <row r="533" spans="2:8" x14ac:dyDescent="0.2">
      <c r="B533" s="51">
        <f t="shared" si="54"/>
        <v>0</v>
      </c>
      <c r="C533" s="8">
        <f t="shared" si="55"/>
        <v>0</v>
      </c>
      <c r="D533" s="9">
        <f t="shared" si="56"/>
        <v>0</v>
      </c>
      <c r="E533" s="9">
        <f t="shared" si="57"/>
        <v>0</v>
      </c>
      <c r="F533" s="8">
        <f t="shared" si="58"/>
        <v>0</v>
      </c>
      <c r="G533" s="16"/>
      <c r="H533" s="8">
        <f t="shared" si="59"/>
        <v>0</v>
      </c>
    </row>
    <row r="534" spans="2:8" x14ac:dyDescent="0.2">
      <c r="B534" s="51">
        <f t="shared" si="54"/>
        <v>0</v>
      </c>
      <c r="C534" s="8">
        <f t="shared" si="55"/>
        <v>0</v>
      </c>
      <c r="D534" s="9">
        <f t="shared" si="56"/>
        <v>0</v>
      </c>
      <c r="E534" s="9">
        <f t="shared" si="57"/>
        <v>0</v>
      </c>
      <c r="F534" s="8">
        <f t="shared" si="58"/>
        <v>0</v>
      </c>
      <c r="G534" s="16"/>
      <c r="H534" s="8">
        <f t="shared" si="59"/>
        <v>0</v>
      </c>
    </row>
    <row r="535" spans="2:8" x14ac:dyDescent="0.2">
      <c r="B535" s="51">
        <f t="shared" si="54"/>
        <v>0</v>
      </c>
      <c r="C535" s="8">
        <f t="shared" si="55"/>
        <v>0</v>
      </c>
      <c r="D535" s="9">
        <f t="shared" si="56"/>
        <v>0</v>
      </c>
      <c r="E535" s="9">
        <f t="shared" si="57"/>
        <v>0</v>
      </c>
      <c r="F535" s="8">
        <f t="shared" si="58"/>
        <v>0</v>
      </c>
      <c r="G535" s="16"/>
      <c r="H535" s="8">
        <f t="shared" si="59"/>
        <v>0</v>
      </c>
    </row>
    <row r="536" spans="2:8" x14ac:dyDescent="0.2">
      <c r="B536" s="51">
        <f t="shared" si="54"/>
        <v>0</v>
      </c>
      <c r="C536" s="8">
        <f t="shared" si="55"/>
        <v>0</v>
      </c>
      <c r="D536" s="9">
        <f t="shared" si="56"/>
        <v>0</v>
      </c>
      <c r="E536" s="9">
        <f t="shared" si="57"/>
        <v>0</v>
      </c>
      <c r="F536" s="8">
        <f t="shared" si="58"/>
        <v>0</v>
      </c>
      <c r="G536" s="16"/>
      <c r="H536" s="8">
        <f t="shared" si="59"/>
        <v>0</v>
      </c>
    </row>
    <row r="537" spans="2:8" x14ac:dyDescent="0.2">
      <c r="B537" s="51">
        <f t="shared" si="54"/>
        <v>0</v>
      </c>
      <c r="C537" s="8">
        <f t="shared" si="55"/>
        <v>0</v>
      </c>
      <c r="D537" s="9">
        <f t="shared" si="56"/>
        <v>0</v>
      </c>
      <c r="E537" s="9">
        <f t="shared" si="57"/>
        <v>0</v>
      </c>
      <c r="F537" s="8">
        <f t="shared" si="58"/>
        <v>0</v>
      </c>
      <c r="G537" s="16"/>
      <c r="H537" s="8">
        <f t="shared" si="59"/>
        <v>0</v>
      </c>
    </row>
    <row r="538" spans="2:8" x14ac:dyDescent="0.2">
      <c r="B538" s="51">
        <f t="shared" si="54"/>
        <v>0</v>
      </c>
      <c r="C538" s="8">
        <f t="shared" si="55"/>
        <v>0</v>
      </c>
      <c r="D538" s="9">
        <f t="shared" si="56"/>
        <v>0</v>
      </c>
      <c r="E538" s="9">
        <f t="shared" si="57"/>
        <v>0</v>
      </c>
      <c r="F538" s="8">
        <f t="shared" si="58"/>
        <v>0</v>
      </c>
      <c r="G538" s="16"/>
      <c r="H538" s="8">
        <f t="shared" si="59"/>
        <v>0</v>
      </c>
    </row>
    <row r="539" spans="2:8" x14ac:dyDescent="0.2">
      <c r="B539" s="51">
        <f t="shared" si="54"/>
        <v>0</v>
      </c>
      <c r="C539" s="8">
        <f t="shared" si="55"/>
        <v>0</v>
      </c>
      <c r="D539" s="9">
        <f t="shared" si="56"/>
        <v>0</v>
      </c>
      <c r="E539" s="9">
        <f t="shared" si="57"/>
        <v>0</v>
      </c>
      <c r="F539" s="8">
        <f t="shared" si="58"/>
        <v>0</v>
      </c>
      <c r="G539" s="16"/>
      <c r="H539" s="8">
        <f t="shared" si="59"/>
        <v>0</v>
      </c>
    </row>
    <row r="540" spans="2:8" x14ac:dyDescent="0.2">
      <c r="B540" s="51">
        <f t="shared" si="54"/>
        <v>0</v>
      </c>
      <c r="C540" s="8">
        <f t="shared" si="55"/>
        <v>0</v>
      </c>
      <c r="D540" s="9">
        <f t="shared" si="56"/>
        <v>0</v>
      </c>
      <c r="E540" s="9">
        <f t="shared" si="57"/>
        <v>0</v>
      </c>
      <c r="F540" s="8">
        <f t="shared" si="58"/>
        <v>0</v>
      </c>
      <c r="G540" s="16"/>
      <c r="H540" s="8">
        <f t="shared" si="59"/>
        <v>0</v>
      </c>
    </row>
    <row r="541" spans="2:8" x14ac:dyDescent="0.2">
      <c r="B541" s="51">
        <f t="shared" si="54"/>
        <v>0</v>
      </c>
      <c r="C541" s="8">
        <f t="shared" si="55"/>
        <v>0</v>
      </c>
      <c r="D541" s="9">
        <f t="shared" si="56"/>
        <v>0</v>
      </c>
      <c r="E541" s="9">
        <f t="shared" si="57"/>
        <v>0</v>
      </c>
      <c r="F541" s="8">
        <f t="shared" si="58"/>
        <v>0</v>
      </c>
      <c r="G541" s="16"/>
      <c r="H541" s="8">
        <f t="shared" si="59"/>
        <v>0</v>
      </c>
    </row>
    <row r="542" spans="2:8" x14ac:dyDescent="0.2">
      <c r="B542" s="51">
        <f t="shared" si="54"/>
        <v>0</v>
      </c>
      <c r="C542" s="8">
        <f t="shared" si="55"/>
        <v>0</v>
      </c>
      <c r="D542" s="9">
        <f t="shared" si="56"/>
        <v>0</v>
      </c>
      <c r="E542" s="9">
        <f t="shared" si="57"/>
        <v>0</v>
      </c>
      <c r="F542" s="8">
        <f t="shared" si="58"/>
        <v>0</v>
      </c>
      <c r="G542" s="16"/>
      <c r="H542" s="8">
        <f t="shared" si="59"/>
        <v>0</v>
      </c>
    </row>
    <row r="543" spans="2:8" x14ac:dyDescent="0.2">
      <c r="B543" s="51">
        <f t="shared" si="54"/>
        <v>0</v>
      </c>
      <c r="C543" s="8">
        <f t="shared" si="55"/>
        <v>0</v>
      </c>
      <c r="D543" s="9">
        <f t="shared" si="56"/>
        <v>0</v>
      </c>
      <c r="E543" s="9">
        <f t="shared" si="57"/>
        <v>0</v>
      </c>
      <c r="F543" s="8">
        <f t="shared" si="58"/>
        <v>0</v>
      </c>
      <c r="G543" s="16"/>
      <c r="H543" s="8">
        <f t="shared" si="59"/>
        <v>0</v>
      </c>
    </row>
    <row r="544" spans="2:8" x14ac:dyDescent="0.2">
      <c r="B544" s="51">
        <f t="shared" si="54"/>
        <v>0</v>
      </c>
      <c r="C544" s="8">
        <f t="shared" si="55"/>
        <v>0</v>
      </c>
      <c r="D544" s="9">
        <f t="shared" si="56"/>
        <v>0</v>
      </c>
      <c r="E544" s="9">
        <f t="shared" si="57"/>
        <v>0</v>
      </c>
      <c r="F544" s="8">
        <f t="shared" si="58"/>
        <v>0</v>
      </c>
      <c r="G544" s="16"/>
      <c r="H544" s="8">
        <f t="shared" si="59"/>
        <v>0</v>
      </c>
    </row>
    <row r="545" spans="2:8" x14ac:dyDescent="0.2">
      <c r="B545" s="51">
        <f t="shared" si="54"/>
        <v>0</v>
      </c>
      <c r="C545" s="8">
        <f t="shared" si="55"/>
        <v>0</v>
      </c>
      <c r="D545" s="9">
        <f t="shared" si="56"/>
        <v>0</v>
      </c>
      <c r="E545" s="9">
        <f t="shared" si="57"/>
        <v>0</v>
      </c>
      <c r="F545" s="8">
        <f t="shared" si="58"/>
        <v>0</v>
      </c>
      <c r="G545" s="16"/>
      <c r="H545" s="8">
        <f t="shared" si="59"/>
        <v>0</v>
      </c>
    </row>
    <row r="546" spans="2:8" x14ac:dyDescent="0.2">
      <c r="B546" s="51">
        <f t="shared" si="54"/>
        <v>0</v>
      </c>
      <c r="C546" s="8">
        <f t="shared" si="55"/>
        <v>0</v>
      </c>
      <c r="D546" s="9">
        <f t="shared" si="56"/>
        <v>0</v>
      </c>
      <c r="E546" s="9">
        <f t="shared" si="57"/>
        <v>0</v>
      </c>
      <c r="F546" s="8">
        <f t="shared" si="58"/>
        <v>0</v>
      </c>
      <c r="G546" s="16"/>
      <c r="H546" s="8">
        <f t="shared" si="59"/>
        <v>0</v>
      </c>
    </row>
    <row r="547" spans="2:8" x14ac:dyDescent="0.2">
      <c r="B547" s="51">
        <f t="shared" si="54"/>
        <v>0</v>
      </c>
      <c r="C547" s="8">
        <f t="shared" si="55"/>
        <v>0</v>
      </c>
      <c r="D547" s="9">
        <f t="shared" si="56"/>
        <v>0</v>
      </c>
      <c r="E547" s="9">
        <f t="shared" si="57"/>
        <v>0</v>
      </c>
      <c r="F547" s="8">
        <f t="shared" si="58"/>
        <v>0</v>
      </c>
      <c r="G547" s="16"/>
      <c r="H547" s="8">
        <f t="shared" si="59"/>
        <v>0</v>
      </c>
    </row>
    <row r="548" spans="2:8" x14ac:dyDescent="0.2">
      <c r="B548" s="51">
        <f t="shared" si="54"/>
        <v>0</v>
      </c>
      <c r="C548" s="8">
        <f t="shared" si="55"/>
        <v>0</v>
      </c>
      <c r="D548" s="9">
        <f t="shared" si="56"/>
        <v>0</v>
      </c>
      <c r="E548" s="9">
        <f t="shared" si="57"/>
        <v>0</v>
      </c>
      <c r="F548" s="8">
        <f t="shared" si="58"/>
        <v>0</v>
      </c>
      <c r="G548" s="16"/>
      <c r="H548" s="8">
        <f t="shared" si="59"/>
        <v>0</v>
      </c>
    </row>
    <row r="549" spans="2:8" x14ac:dyDescent="0.2">
      <c r="B549" s="51">
        <f t="shared" si="54"/>
        <v>0</v>
      </c>
      <c r="C549" s="8">
        <f t="shared" si="55"/>
        <v>0</v>
      </c>
      <c r="D549" s="9">
        <f t="shared" si="56"/>
        <v>0</v>
      </c>
      <c r="E549" s="9">
        <f t="shared" si="57"/>
        <v>0</v>
      </c>
      <c r="F549" s="8">
        <f t="shared" si="58"/>
        <v>0</v>
      </c>
      <c r="G549" s="16"/>
      <c r="H549" s="8">
        <f t="shared" si="59"/>
        <v>0</v>
      </c>
    </row>
    <row r="550" spans="2:8" x14ac:dyDescent="0.2">
      <c r="B550" s="51">
        <f t="shared" si="54"/>
        <v>0</v>
      </c>
      <c r="C550" s="8">
        <f t="shared" si="55"/>
        <v>0</v>
      </c>
      <c r="D550" s="9">
        <f t="shared" si="56"/>
        <v>0</v>
      </c>
      <c r="E550" s="9">
        <f t="shared" si="57"/>
        <v>0</v>
      </c>
      <c r="F550" s="8">
        <f t="shared" si="58"/>
        <v>0</v>
      </c>
      <c r="G550" s="16"/>
      <c r="H550" s="8">
        <f t="shared" si="59"/>
        <v>0</v>
      </c>
    </row>
    <row r="551" spans="2:8" x14ac:dyDescent="0.2">
      <c r="B551" s="51">
        <f t="shared" si="54"/>
        <v>0</v>
      </c>
      <c r="C551" s="8">
        <f t="shared" si="55"/>
        <v>0</v>
      </c>
      <c r="D551" s="9">
        <f t="shared" si="56"/>
        <v>0</v>
      </c>
      <c r="E551" s="9">
        <f t="shared" si="57"/>
        <v>0</v>
      </c>
      <c r="F551" s="8">
        <f t="shared" si="58"/>
        <v>0</v>
      </c>
      <c r="G551" s="16"/>
      <c r="H551" s="8">
        <f t="shared" si="59"/>
        <v>0</v>
      </c>
    </row>
    <row r="552" spans="2:8" x14ac:dyDescent="0.2">
      <c r="B552" s="51">
        <f t="shared" si="54"/>
        <v>0</v>
      </c>
      <c r="C552" s="8">
        <f t="shared" si="55"/>
        <v>0</v>
      </c>
      <c r="D552" s="9">
        <f t="shared" si="56"/>
        <v>0</v>
      </c>
      <c r="E552" s="9">
        <f t="shared" si="57"/>
        <v>0</v>
      </c>
      <c r="F552" s="8">
        <f t="shared" si="58"/>
        <v>0</v>
      </c>
      <c r="G552" s="16"/>
      <c r="H552" s="8">
        <f t="shared" si="59"/>
        <v>0</v>
      </c>
    </row>
    <row r="553" spans="2:8" x14ac:dyDescent="0.2">
      <c r="B553" s="51">
        <f t="shared" si="54"/>
        <v>0</v>
      </c>
      <c r="C553" s="8">
        <f t="shared" si="55"/>
        <v>0</v>
      </c>
      <c r="D553" s="9">
        <f t="shared" si="56"/>
        <v>0</v>
      </c>
      <c r="E553" s="9">
        <f t="shared" si="57"/>
        <v>0</v>
      </c>
      <c r="F553" s="8">
        <f t="shared" si="58"/>
        <v>0</v>
      </c>
      <c r="G553" s="16"/>
      <c r="H553" s="8">
        <f t="shared" si="59"/>
        <v>0</v>
      </c>
    </row>
    <row r="554" spans="2:8" x14ac:dyDescent="0.2">
      <c r="B554" s="51">
        <f t="shared" si="54"/>
        <v>0</v>
      </c>
      <c r="C554" s="8">
        <f t="shared" si="55"/>
        <v>0</v>
      </c>
      <c r="D554" s="9">
        <f t="shared" si="56"/>
        <v>0</v>
      </c>
      <c r="E554" s="9">
        <f t="shared" si="57"/>
        <v>0</v>
      </c>
      <c r="F554" s="8">
        <f t="shared" si="58"/>
        <v>0</v>
      </c>
      <c r="G554" s="16"/>
      <c r="H554" s="8">
        <f t="shared" si="59"/>
        <v>0</v>
      </c>
    </row>
    <row r="555" spans="2:8" x14ac:dyDescent="0.2">
      <c r="B555" s="51">
        <f t="shared" si="54"/>
        <v>0</v>
      </c>
      <c r="C555" s="8">
        <f t="shared" si="55"/>
        <v>0</v>
      </c>
      <c r="D555" s="9">
        <f t="shared" si="56"/>
        <v>0</v>
      </c>
      <c r="E555" s="9">
        <f t="shared" si="57"/>
        <v>0</v>
      </c>
      <c r="F555" s="8">
        <f t="shared" si="58"/>
        <v>0</v>
      </c>
      <c r="G555" s="16"/>
      <c r="H555" s="8">
        <f t="shared" si="59"/>
        <v>0</v>
      </c>
    </row>
    <row r="556" spans="2:8" x14ac:dyDescent="0.2">
      <c r="B556" s="51">
        <f t="shared" si="54"/>
        <v>0</v>
      </c>
      <c r="C556" s="8">
        <f t="shared" si="55"/>
        <v>0</v>
      </c>
      <c r="D556" s="9">
        <f t="shared" si="56"/>
        <v>0</v>
      </c>
      <c r="E556" s="9">
        <f t="shared" si="57"/>
        <v>0</v>
      </c>
      <c r="F556" s="8">
        <f t="shared" si="58"/>
        <v>0</v>
      </c>
      <c r="G556" s="16"/>
      <c r="H556" s="8">
        <f t="shared" si="59"/>
        <v>0</v>
      </c>
    </row>
    <row r="557" spans="2:8" x14ac:dyDescent="0.2">
      <c r="B557" s="51">
        <f t="shared" si="54"/>
        <v>0</v>
      </c>
      <c r="C557" s="8">
        <f t="shared" si="55"/>
        <v>0</v>
      </c>
      <c r="D557" s="9">
        <f t="shared" si="56"/>
        <v>0</v>
      </c>
      <c r="E557" s="9">
        <f t="shared" si="57"/>
        <v>0</v>
      </c>
      <c r="F557" s="8">
        <f t="shared" si="58"/>
        <v>0</v>
      </c>
      <c r="G557" s="16"/>
      <c r="H557" s="8">
        <f t="shared" si="59"/>
        <v>0</v>
      </c>
    </row>
    <row r="558" spans="2:8" x14ac:dyDescent="0.2">
      <c r="B558" s="51">
        <f t="shared" si="54"/>
        <v>0</v>
      </c>
      <c r="C558" s="8">
        <f t="shared" si="55"/>
        <v>0</v>
      </c>
      <c r="D558" s="9">
        <f t="shared" si="56"/>
        <v>0</v>
      </c>
      <c r="E558" s="9">
        <f t="shared" si="57"/>
        <v>0</v>
      </c>
      <c r="F558" s="8">
        <f t="shared" si="58"/>
        <v>0</v>
      </c>
      <c r="G558" s="16"/>
      <c r="H558" s="8">
        <f t="shared" si="59"/>
        <v>0</v>
      </c>
    </row>
    <row r="559" spans="2:8" x14ac:dyDescent="0.2">
      <c r="B559" s="51">
        <f t="shared" si="54"/>
        <v>0</v>
      </c>
      <c r="C559" s="8">
        <f t="shared" si="55"/>
        <v>0</v>
      </c>
      <c r="D559" s="9">
        <f t="shared" si="56"/>
        <v>0</v>
      </c>
      <c r="E559" s="9">
        <f t="shared" si="57"/>
        <v>0</v>
      </c>
      <c r="F559" s="8">
        <f t="shared" si="58"/>
        <v>0</v>
      </c>
      <c r="G559" s="16"/>
      <c r="H559" s="8">
        <f t="shared" si="59"/>
        <v>0</v>
      </c>
    </row>
    <row r="560" spans="2:8" x14ac:dyDescent="0.2">
      <c r="B560" s="51">
        <f t="shared" si="54"/>
        <v>0</v>
      </c>
      <c r="C560" s="8">
        <f t="shared" si="55"/>
        <v>0</v>
      </c>
      <c r="D560" s="9">
        <f t="shared" si="56"/>
        <v>0</v>
      </c>
      <c r="E560" s="9">
        <f t="shared" si="57"/>
        <v>0</v>
      </c>
      <c r="F560" s="8">
        <f t="shared" si="58"/>
        <v>0</v>
      </c>
      <c r="G560" s="16"/>
      <c r="H560" s="8">
        <f t="shared" si="59"/>
        <v>0</v>
      </c>
    </row>
    <row r="561" spans="2:8" x14ac:dyDescent="0.2">
      <c r="B561" s="51">
        <f t="shared" si="54"/>
        <v>0</v>
      </c>
      <c r="C561" s="8">
        <f t="shared" si="55"/>
        <v>0</v>
      </c>
      <c r="D561" s="9">
        <f t="shared" si="56"/>
        <v>0</v>
      </c>
      <c r="E561" s="9">
        <f t="shared" si="57"/>
        <v>0</v>
      </c>
      <c r="F561" s="8">
        <f t="shared" si="58"/>
        <v>0</v>
      </c>
      <c r="G561" s="16"/>
      <c r="H561" s="8">
        <f t="shared" si="59"/>
        <v>0</v>
      </c>
    </row>
    <row r="562" spans="2:8" x14ac:dyDescent="0.2">
      <c r="B562" s="51">
        <f t="shared" si="54"/>
        <v>0</v>
      </c>
      <c r="C562" s="8">
        <f t="shared" si="55"/>
        <v>0</v>
      </c>
      <c r="D562" s="9">
        <f t="shared" si="56"/>
        <v>0</v>
      </c>
      <c r="E562" s="9">
        <f t="shared" si="57"/>
        <v>0</v>
      </c>
      <c r="F562" s="8">
        <f t="shared" si="58"/>
        <v>0</v>
      </c>
      <c r="G562" s="16"/>
      <c r="H562" s="8">
        <f t="shared" si="59"/>
        <v>0</v>
      </c>
    </row>
    <row r="563" spans="2:8" x14ac:dyDescent="0.2">
      <c r="B563" s="51">
        <f t="shared" ref="B563:B626" si="60">IF(AND(B562&gt;0,B562&lt;E$8),B562+1,0)</f>
        <v>0</v>
      </c>
      <c r="C563" s="8">
        <f t="shared" ref="C563:C626" si="61">IF(B563&gt;0,H562,0)</f>
        <v>0</v>
      </c>
      <c r="D563" s="9">
        <f t="shared" ref="D563:D626" si="62">IF(B563&gt;0,C563*$F$8,0)</f>
        <v>0</v>
      </c>
      <c r="E563" s="9">
        <f t="shared" ref="E563:E626" si="63">IF(B563&gt;0,C563+D563,0)</f>
        <v>0</v>
      </c>
      <c r="F563" s="8">
        <f t="shared" ref="F563:F626" si="64">IF(B563&gt;0,$D$8,0)</f>
        <v>0</v>
      </c>
      <c r="G563" s="16"/>
      <c r="H563" s="8">
        <f t="shared" ref="H563:H626" si="65">IF(B563&gt;0,E563+F563+G563,0)</f>
        <v>0</v>
      </c>
    </row>
    <row r="564" spans="2:8" x14ac:dyDescent="0.2">
      <c r="B564" s="51">
        <f t="shared" si="60"/>
        <v>0</v>
      </c>
      <c r="C564" s="8">
        <f t="shared" si="61"/>
        <v>0</v>
      </c>
      <c r="D564" s="9">
        <f t="shared" si="62"/>
        <v>0</v>
      </c>
      <c r="E564" s="9">
        <f t="shared" si="63"/>
        <v>0</v>
      </c>
      <c r="F564" s="8">
        <f t="shared" si="64"/>
        <v>0</v>
      </c>
      <c r="G564" s="16"/>
      <c r="H564" s="8">
        <f t="shared" si="65"/>
        <v>0</v>
      </c>
    </row>
    <row r="565" spans="2:8" x14ac:dyDescent="0.2">
      <c r="B565" s="51">
        <f t="shared" si="60"/>
        <v>0</v>
      </c>
      <c r="C565" s="8">
        <f t="shared" si="61"/>
        <v>0</v>
      </c>
      <c r="D565" s="9">
        <f t="shared" si="62"/>
        <v>0</v>
      </c>
      <c r="E565" s="9">
        <f t="shared" si="63"/>
        <v>0</v>
      </c>
      <c r="F565" s="8">
        <f t="shared" si="64"/>
        <v>0</v>
      </c>
      <c r="G565" s="16"/>
      <c r="H565" s="8">
        <f t="shared" si="65"/>
        <v>0</v>
      </c>
    </row>
    <row r="566" spans="2:8" x14ac:dyDescent="0.2">
      <c r="B566" s="51">
        <f t="shared" si="60"/>
        <v>0</v>
      </c>
      <c r="C566" s="8">
        <f t="shared" si="61"/>
        <v>0</v>
      </c>
      <c r="D566" s="9">
        <f t="shared" si="62"/>
        <v>0</v>
      </c>
      <c r="E566" s="9">
        <f t="shared" si="63"/>
        <v>0</v>
      </c>
      <c r="F566" s="8">
        <f t="shared" si="64"/>
        <v>0</v>
      </c>
      <c r="G566" s="16"/>
      <c r="H566" s="8">
        <f t="shared" si="65"/>
        <v>0</v>
      </c>
    </row>
    <row r="567" spans="2:8" x14ac:dyDescent="0.2">
      <c r="B567" s="51">
        <f t="shared" si="60"/>
        <v>0</v>
      </c>
      <c r="C567" s="8">
        <f t="shared" si="61"/>
        <v>0</v>
      </c>
      <c r="D567" s="9">
        <f t="shared" si="62"/>
        <v>0</v>
      </c>
      <c r="E567" s="9">
        <f t="shared" si="63"/>
        <v>0</v>
      </c>
      <c r="F567" s="8">
        <f t="shared" si="64"/>
        <v>0</v>
      </c>
      <c r="G567" s="16"/>
      <c r="H567" s="8">
        <f t="shared" si="65"/>
        <v>0</v>
      </c>
    </row>
    <row r="568" spans="2:8" x14ac:dyDescent="0.2">
      <c r="B568" s="51">
        <f t="shared" si="60"/>
        <v>0</v>
      </c>
      <c r="C568" s="8">
        <f t="shared" si="61"/>
        <v>0</v>
      </c>
      <c r="D568" s="9">
        <f t="shared" si="62"/>
        <v>0</v>
      </c>
      <c r="E568" s="9">
        <f t="shared" si="63"/>
        <v>0</v>
      </c>
      <c r="F568" s="8">
        <f t="shared" si="64"/>
        <v>0</v>
      </c>
      <c r="G568" s="16"/>
      <c r="H568" s="8">
        <f t="shared" si="65"/>
        <v>0</v>
      </c>
    </row>
    <row r="569" spans="2:8" x14ac:dyDescent="0.2">
      <c r="B569" s="51">
        <f t="shared" si="60"/>
        <v>0</v>
      </c>
      <c r="C569" s="8">
        <f t="shared" si="61"/>
        <v>0</v>
      </c>
      <c r="D569" s="9">
        <f t="shared" si="62"/>
        <v>0</v>
      </c>
      <c r="E569" s="9">
        <f t="shared" si="63"/>
        <v>0</v>
      </c>
      <c r="F569" s="8">
        <f t="shared" si="64"/>
        <v>0</v>
      </c>
      <c r="G569" s="16"/>
      <c r="H569" s="8">
        <f t="shared" si="65"/>
        <v>0</v>
      </c>
    </row>
    <row r="570" spans="2:8" x14ac:dyDescent="0.2">
      <c r="B570" s="51">
        <f t="shared" si="60"/>
        <v>0</v>
      </c>
      <c r="C570" s="8">
        <f t="shared" si="61"/>
        <v>0</v>
      </c>
      <c r="D570" s="9">
        <f t="shared" si="62"/>
        <v>0</v>
      </c>
      <c r="E570" s="9">
        <f t="shared" si="63"/>
        <v>0</v>
      </c>
      <c r="F570" s="8">
        <f t="shared" si="64"/>
        <v>0</v>
      </c>
      <c r="G570" s="16"/>
      <c r="H570" s="8">
        <f t="shared" si="65"/>
        <v>0</v>
      </c>
    </row>
    <row r="571" spans="2:8" x14ac:dyDescent="0.2">
      <c r="B571" s="51">
        <f t="shared" si="60"/>
        <v>0</v>
      </c>
      <c r="C571" s="8">
        <f t="shared" si="61"/>
        <v>0</v>
      </c>
      <c r="D571" s="9">
        <f t="shared" si="62"/>
        <v>0</v>
      </c>
      <c r="E571" s="9">
        <f t="shared" si="63"/>
        <v>0</v>
      </c>
      <c r="F571" s="8">
        <f t="shared" si="64"/>
        <v>0</v>
      </c>
      <c r="G571" s="16"/>
      <c r="H571" s="8">
        <f t="shared" si="65"/>
        <v>0</v>
      </c>
    </row>
    <row r="572" spans="2:8" x14ac:dyDescent="0.2">
      <c r="B572" s="51">
        <f t="shared" si="60"/>
        <v>0</v>
      </c>
      <c r="C572" s="8">
        <f t="shared" si="61"/>
        <v>0</v>
      </c>
      <c r="D572" s="9">
        <f t="shared" si="62"/>
        <v>0</v>
      </c>
      <c r="E572" s="9">
        <f t="shared" si="63"/>
        <v>0</v>
      </c>
      <c r="F572" s="8">
        <f t="shared" si="64"/>
        <v>0</v>
      </c>
      <c r="G572" s="16"/>
      <c r="H572" s="8">
        <f t="shared" si="65"/>
        <v>0</v>
      </c>
    </row>
    <row r="573" spans="2:8" x14ac:dyDescent="0.2">
      <c r="B573" s="51">
        <f t="shared" si="60"/>
        <v>0</v>
      </c>
      <c r="C573" s="8">
        <f t="shared" si="61"/>
        <v>0</v>
      </c>
      <c r="D573" s="9">
        <f t="shared" si="62"/>
        <v>0</v>
      </c>
      <c r="E573" s="9">
        <f t="shared" si="63"/>
        <v>0</v>
      </c>
      <c r="F573" s="8">
        <f t="shared" si="64"/>
        <v>0</v>
      </c>
      <c r="G573" s="16"/>
      <c r="H573" s="8">
        <f t="shared" si="65"/>
        <v>0</v>
      </c>
    </row>
    <row r="574" spans="2:8" x14ac:dyDescent="0.2">
      <c r="B574" s="51">
        <f t="shared" si="60"/>
        <v>0</v>
      </c>
      <c r="C574" s="8">
        <f t="shared" si="61"/>
        <v>0</v>
      </c>
      <c r="D574" s="9">
        <f t="shared" si="62"/>
        <v>0</v>
      </c>
      <c r="E574" s="9">
        <f t="shared" si="63"/>
        <v>0</v>
      </c>
      <c r="F574" s="8">
        <f t="shared" si="64"/>
        <v>0</v>
      </c>
      <c r="G574" s="16"/>
      <c r="H574" s="8">
        <f t="shared" si="65"/>
        <v>0</v>
      </c>
    </row>
    <row r="575" spans="2:8" x14ac:dyDescent="0.2">
      <c r="B575" s="51">
        <f t="shared" si="60"/>
        <v>0</v>
      </c>
      <c r="C575" s="8">
        <f t="shared" si="61"/>
        <v>0</v>
      </c>
      <c r="D575" s="9">
        <f t="shared" si="62"/>
        <v>0</v>
      </c>
      <c r="E575" s="9">
        <f t="shared" si="63"/>
        <v>0</v>
      </c>
      <c r="F575" s="8">
        <f t="shared" si="64"/>
        <v>0</v>
      </c>
      <c r="G575" s="16"/>
      <c r="H575" s="8">
        <f t="shared" si="65"/>
        <v>0</v>
      </c>
    </row>
    <row r="576" spans="2:8" x14ac:dyDescent="0.2">
      <c r="B576" s="51">
        <f t="shared" si="60"/>
        <v>0</v>
      </c>
      <c r="C576" s="8">
        <f t="shared" si="61"/>
        <v>0</v>
      </c>
      <c r="D576" s="9">
        <f t="shared" si="62"/>
        <v>0</v>
      </c>
      <c r="E576" s="9">
        <f t="shared" si="63"/>
        <v>0</v>
      </c>
      <c r="F576" s="8">
        <f t="shared" si="64"/>
        <v>0</v>
      </c>
      <c r="G576" s="16"/>
      <c r="H576" s="8">
        <f t="shared" si="65"/>
        <v>0</v>
      </c>
    </row>
    <row r="577" spans="2:8" x14ac:dyDescent="0.2">
      <c r="B577" s="51">
        <f t="shared" si="60"/>
        <v>0</v>
      </c>
      <c r="C577" s="8">
        <f t="shared" si="61"/>
        <v>0</v>
      </c>
      <c r="D577" s="9">
        <f t="shared" si="62"/>
        <v>0</v>
      </c>
      <c r="E577" s="9">
        <f t="shared" si="63"/>
        <v>0</v>
      </c>
      <c r="F577" s="8">
        <f t="shared" si="64"/>
        <v>0</v>
      </c>
      <c r="G577" s="16"/>
      <c r="H577" s="8">
        <f t="shared" si="65"/>
        <v>0</v>
      </c>
    </row>
    <row r="578" spans="2:8" x14ac:dyDescent="0.2">
      <c r="B578" s="51">
        <f t="shared" si="60"/>
        <v>0</v>
      </c>
      <c r="C578" s="8">
        <f t="shared" si="61"/>
        <v>0</v>
      </c>
      <c r="D578" s="9">
        <f t="shared" si="62"/>
        <v>0</v>
      </c>
      <c r="E578" s="9">
        <f t="shared" si="63"/>
        <v>0</v>
      </c>
      <c r="F578" s="8">
        <f t="shared" si="64"/>
        <v>0</v>
      </c>
      <c r="G578" s="16"/>
      <c r="H578" s="8">
        <f t="shared" si="65"/>
        <v>0</v>
      </c>
    </row>
    <row r="579" spans="2:8" x14ac:dyDescent="0.2">
      <c r="B579" s="51">
        <f t="shared" si="60"/>
        <v>0</v>
      </c>
      <c r="C579" s="8">
        <f t="shared" si="61"/>
        <v>0</v>
      </c>
      <c r="D579" s="9">
        <f t="shared" si="62"/>
        <v>0</v>
      </c>
      <c r="E579" s="9">
        <f t="shared" si="63"/>
        <v>0</v>
      </c>
      <c r="F579" s="8">
        <f t="shared" si="64"/>
        <v>0</v>
      </c>
      <c r="G579" s="16"/>
      <c r="H579" s="8">
        <f t="shared" si="65"/>
        <v>0</v>
      </c>
    </row>
    <row r="580" spans="2:8" x14ac:dyDescent="0.2">
      <c r="B580" s="51">
        <f t="shared" si="60"/>
        <v>0</v>
      </c>
      <c r="C580" s="8">
        <f t="shared" si="61"/>
        <v>0</v>
      </c>
      <c r="D580" s="9">
        <f t="shared" si="62"/>
        <v>0</v>
      </c>
      <c r="E580" s="9">
        <f t="shared" si="63"/>
        <v>0</v>
      </c>
      <c r="F580" s="8">
        <f t="shared" si="64"/>
        <v>0</v>
      </c>
      <c r="G580" s="16"/>
      <c r="H580" s="8">
        <f t="shared" si="65"/>
        <v>0</v>
      </c>
    </row>
    <row r="581" spans="2:8" x14ac:dyDescent="0.2">
      <c r="B581" s="51">
        <f t="shared" si="60"/>
        <v>0</v>
      </c>
      <c r="C581" s="8">
        <f t="shared" si="61"/>
        <v>0</v>
      </c>
      <c r="D581" s="9">
        <f t="shared" si="62"/>
        <v>0</v>
      </c>
      <c r="E581" s="9">
        <f t="shared" si="63"/>
        <v>0</v>
      </c>
      <c r="F581" s="8">
        <f t="shared" si="64"/>
        <v>0</v>
      </c>
      <c r="G581" s="16"/>
      <c r="H581" s="8">
        <f t="shared" si="65"/>
        <v>0</v>
      </c>
    </row>
    <row r="582" spans="2:8" x14ac:dyDescent="0.2">
      <c r="B582" s="51">
        <f t="shared" si="60"/>
        <v>0</v>
      </c>
      <c r="C582" s="8">
        <f t="shared" si="61"/>
        <v>0</v>
      </c>
      <c r="D582" s="9">
        <f t="shared" si="62"/>
        <v>0</v>
      </c>
      <c r="E582" s="9">
        <f t="shared" si="63"/>
        <v>0</v>
      </c>
      <c r="F582" s="8">
        <f t="shared" si="64"/>
        <v>0</v>
      </c>
      <c r="G582" s="16"/>
      <c r="H582" s="8">
        <f t="shared" si="65"/>
        <v>0</v>
      </c>
    </row>
    <row r="583" spans="2:8" x14ac:dyDescent="0.2">
      <c r="B583" s="51">
        <f t="shared" si="60"/>
        <v>0</v>
      </c>
      <c r="C583" s="8">
        <f t="shared" si="61"/>
        <v>0</v>
      </c>
      <c r="D583" s="9">
        <f t="shared" si="62"/>
        <v>0</v>
      </c>
      <c r="E583" s="9">
        <f t="shared" si="63"/>
        <v>0</v>
      </c>
      <c r="F583" s="8">
        <f t="shared" si="64"/>
        <v>0</v>
      </c>
      <c r="G583" s="16"/>
      <c r="H583" s="8">
        <f t="shared" si="65"/>
        <v>0</v>
      </c>
    </row>
    <row r="584" spans="2:8" x14ac:dyDescent="0.2">
      <c r="B584" s="51">
        <f t="shared" si="60"/>
        <v>0</v>
      </c>
      <c r="C584" s="8">
        <f t="shared" si="61"/>
        <v>0</v>
      </c>
      <c r="D584" s="9">
        <f t="shared" si="62"/>
        <v>0</v>
      </c>
      <c r="E584" s="9">
        <f t="shared" si="63"/>
        <v>0</v>
      </c>
      <c r="F584" s="8">
        <f t="shared" si="64"/>
        <v>0</v>
      </c>
      <c r="G584" s="16"/>
      <c r="H584" s="8">
        <f t="shared" si="65"/>
        <v>0</v>
      </c>
    </row>
    <row r="585" spans="2:8" x14ac:dyDescent="0.2">
      <c r="B585" s="51">
        <f t="shared" si="60"/>
        <v>0</v>
      </c>
      <c r="C585" s="8">
        <f t="shared" si="61"/>
        <v>0</v>
      </c>
      <c r="D585" s="9">
        <f t="shared" si="62"/>
        <v>0</v>
      </c>
      <c r="E585" s="9">
        <f t="shared" si="63"/>
        <v>0</v>
      </c>
      <c r="F585" s="8">
        <f t="shared" si="64"/>
        <v>0</v>
      </c>
      <c r="G585" s="16"/>
      <c r="H585" s="8">
        <f t="shared" si="65"/>
        <v>0</v>
      </c>
    </row>
    <row r="586" spans="2:8" x14ac:dyDescent="0.2">
      <c r="B586" s="51">
        <f t="shared" si="60"/>
        <v>0</v>
      </c>
      <c r="C586" s="8">
        <f t="shared" si="61"/>
        <v>0</v>
      </c>
      <c r="D586" s="9">
        <f t="shared" si="62"/>
        <v>0</v>
      </c>
      <c r="E586" s="9">
        <f t="shared" si="63"/>
        <v>0</v>
      </c>
      <c r="F586" s="8">
        <f t="shared" si="64"/>
        <v>0</v>
      </c>
      <c r="G586" s="16"/>
      <c r="H586" s="8">
        <f t="shared" si="65"/>
        <v>0</v>
      </c>
    </row>
    <row r="587" spans="2:8" x14ac:dyDescent="0.2">
      <c r="B587" s="51">
        <f t="shared" si="60"/>
        <v>0</v>
      </c>
      <c r="C587" s="8">
        <f t="shared" si="61"/>
        <v>0</v>
      </c>
      <c r="D587" s="9">
        <f t="shared" si="62"/>
        <v>0</v>
      </c>
      <c r="E587" s="9">
        <f t="shared" si="63"/>
        <v>0</v>
      </c>
      <c r="F587" s="8">
        <f t="shared" si="64"/>
        <v>0</v>
      </c>
      <c r="G587" s="16"/>
      <c r="H587" s="8">
        <f t="shared" si="65"/>
        <v>0</v>
      </c>
    </row>
    <row r="588" spans="2:8" x14ac:dyDescent="0.2">
      <c r="B588" s="51">
        <f t="shared" si="60"/>
        <v>0</v>
      </c>
      <c r="C588" s="8">
        <f t="shared" si="61"/>
        <v>0</v>
      </c>
      <c r="D588" s="9">
        <f t="shared" si="62"/>
        <v>0</v>
      </c>
      <c r="E588" s="9">
        <f t="shared" si="63"/>
        <v>0</v>
      </c>
      <c r="F588" s="8">
        <f t="shared" si="64"/>
        <v>0</v>
      </c>
      <c r="G588" s="16"/>
      <c r="H588" s="8">
        <f t="shared" si="65"/>
        <v>0</v>
      </c>
    </row>
    <row r="589" spans="2:8" x14ac:dyDescent="0.2">
      <c r="B589" s="51">
        <f t="shared" si="60"/>
        <v>0</v>
      </c>
      <c r="C589" s="8">
        <f t="shared" si="61"/>
        <v>0</v>
      </c>
      <c r="D589" s="9">
        <f t="shared" si="62"/>
        <v>0</v>
      </c>
      <c r="E589" s="9">
        <f t="shared" si="63"/>
        <v>0</v>
      </c>
      <c r="F589" s="8">
        <f t="shared" si="64"/>
        <v>0</v>
      </c>
      <c r="G589" s="16"/>
      <c r="H589" s="8">
        <f t="shared" si="65"/>
        <v>0</v>
      </c>
    </row>
    <row r="590" spans="2:8" x14ac:dyDescent="0.2">
      <c r="B590" s="51">
        <f t="shared" si="60"/>
        <v>0</v>
      </c>
      <c r="C590" s="8">
        <f t="shared" si="61"/>
        <v>0</v>
      </c>
      <c r="D590" s="9">
        <f t="shared" si="62"/>
        <v>0</v>
      </c>
      <c r="E590" s="9">
        <f t="shared" si="63"/>
        <v>0</v>
      </c>
      <c r="F590" s="8">
        <f t="shared" si="64"/>
        <v>0</v>
      </c>
      <c r="G590" s="16"/>
      <c r="H590" s="8">
        <f t="shared" si="65"/>
        <v>0</v>
      </c>
    </row>
    <row r="591" spans="2:8" x14ac:dyDescent="0.2">
      <c r="B591" s="51">
        <f t="shared" si="60"/>
        <v>0</v>
      </c>
      <c r="C591" s="8">
        <f t="shared" si="61"/>
        <v>0</v>
      </c>
      <c r="D591" s="9">
        <f t="shared" si="62"/>
        <v>0</v>
      </c>
      <c r="E591" s="9">
        <f t="shared" si="63"/>
        <v>0</v>
      </c>
      <c r="F591" s="8">
        <f t="shared" si="64"/>
        <v>0</v>
      </c>
      <c r="G591" s="16"/>
      <c r="H591" s="8">
        <f t="shared" si="65"/>
        <v>0</v>
      </c>
    </row>
    <row r="592" spans="2:8" x14ac:dyDescent="0.2">
      <c r="B592" s="51">
        <f t="shared" si="60"/>
        <v>0</v>
      </c>
      <c r="C592" s="8">
        <f t="shared" si="61"/>
        <v>0</v>
      </c>
      <c r="D592" s="9">
        <f t="shared" si="62"/>
        <v>0</v>
      </c>
      <c r="E592" s="9">
        <f t="shared" si="63"/>
        <v>0</v>
      </c>
      <c r="F592" s="8">
        <f t="shared" si="64"/>
        <v>0</v>
      </c>
      <c r="G592" s="16"/>
      <c r="H592" s="8">
        <f t="shared" si="65"/>
        <v>0</v>
      </c>
    </row>
    <row r="593" spans="2:8" x14ac:dyDescent="0.2">
      <c r="B593" s="51">
        <f t="shared" si="60"/>
        <v>0</v>
      </c>
      <c r="C593" s="8">
        <f t="shared" si="61"/>
        <v>0</v>
      </c>
      <c r="D593" s="9">
        <f t="shared" si="62"/>
        <v>0</v>
      </c>
      <c r="E593" s="9">
        <f t="shared" si="63"/>
        <v>0</v>
      </c>
      <c r="F593" s="8">
        <f t="shared" si="64"/>
        <v>0</v>
      </c>
      <c r="G593" s="16"/>
      <c r="H593" s="8">
        <f t="shared" si="65"/>
        <v>0</v>
      </c>
    </row>
    <row r="594" spans="2:8" x14ac:dyDescent="0.2">
      <c r="B594" s="51">
        <f t="shared" si="60"/>
        <v>0</v>
      </c>
      <c r="C594" s="8">
        <f t="shared" si="61"/>
        <v>0</v>
      </c>
      <c r="D594" s="9">
        <f t="shared" si="62"/>
        <v>0</v>
      </c>
      <c r="E594" s="9">
        <f t="shared" si="63"/>
        <v>0</v>
      </c>
      <c r="F594" s="8">
        <f t="shared" si="64"/>
        <v>0</v>
      </c>
      <c r="G594" s="16"/>
      <c r="H594" s="8">
        <f t="shared" si="65"/>
        <v>0</v>
      </c>
    </row>
    <row r="595" spans="2:8" x14ac:dyDescent="0.2">
      <c r="B595" s="51">
        <f t="shared" si="60"/>
        <v>0</v>
      </c>
      <c r="C595" s="8">
        <f t="shared" si="61"/>
        <v>0</v>
      </c>
      <c r="D595" s="9">
        <f t="shared" si="62"/>
        <v>0</v>
      </c>
      <c r="E595" s="9">
        <f t="shared" si="63"/>
        <v>0</v>
      </c>
      <c r="F595" s="8">
        <f t="shared" si="64"/>
        <v>0</v>
      </c>
      <c r="G595" s="16"/>
      <c r="H595" s="8">
        <f t="shared" si="65"/>
        <v>0</v>
      </c>
    </row>
    <row r="596" spans="2:8" x14ac:dyDescent="0.2">
      <c r="B596" s="51">
        <f t="shared" si="60"/>
        <v>0</v>
      </c>
      <c r="C596" s="8">
        <f t="shared" si="61"/>
        <v>0</v>
      </c>
      <c r="D596" s="9">
        <f t="shared" si="62"/>
        <v>0</v>
      </c>
      <c r="E596" s="9">
        <f t="shared" si="63"/>
        <v>0</v>
      </c>
      <c r="F596" s="8">
        <f t="shared" si="64"/>
        <v>0</v>
      </c>
      <c r="G596" s="16"/>
      <c r="H596" s="8">
        <f t="shared" si="65"/>
        <v>0</v>
      </c>
    </row>
    <row r="597" spans="2:8" x14ac:dyDescent="0.2">
      <c r="B597" s="51">
        <f t="shared" si="60"/>
        <v>0</v>
      </c>
      <c r="C597" s="8">
        <f t="shared" si="61"/>
        <v>0</v>
      </c>
      <c r="D597" s="9">
        <f t="shared" si="62"/>
        <v>0</v>
      </c>
      <c r="E597" s="9">
        <f t="shared" si="63"/>
        <v>0</v>
      </c>
      <c r="F597" s="8">
        <f t="shared" si="64"/>
        <v>0</v>
      </c>
      <c r="G597" s="16"/>
      <c r="H597" s="8">
        <f t="shared" si="65"/>
        <v>0</v>
      </c>
    </row>
    <row r="598" spans="2:8" x14ac:dyDescent="0.2">
      <c r="B598" s="51">
        <f t="shared" si="60"/>
        <v>0</v>
      </c>
      <c r="C598" s="8">
        <f t="shared" si="61"/>
        <v>0</v>
      </c>
      <c r="D598" s="9">
        <f t="shared" si="62"/>
        <v>0</v>
      </c>
      <c r="E598" s="9">
        <f t="shared" si="63"/>
        <v>0</v>
      </c>
      <c r="F598" s="8">
        <f t="shared" si="64"/>
        <v>0</v>
      </c>
      <c r="G598" s="16"/>
      <c r="H598" s="8">
        <f t="shared" si="65"/>
        <v>0</v>
      </c>
    </row>
    <row r="599" spans="2:8" x14ac:dyDescent="0.2">
      <c r="B599" s="51">
        <f t="shared" si="60"/>
        <v>0</v>
      </c>
      <c r="C599" s="8">
        <f t="shared" si="61"/>
        <v>0</v>
      </c>
      <c r="D599" s="9">
        <f t="shared" si="62"/>
        <v>0</v>
      </c>
      <c r="E599" s="9">
        <f t="shared" si="63"/>
        <v>0</v>
      </c>
      <c r="F599" s="8">
        <f t="shared" si="64"/>
        <v>0</v>
      </c>
      <c r="G599" s="16"/>
      <c r="H599" s="8">
        <f t="shared" si="65"/>
        <v>0</v>
      </c>
    </row>
    <row r="600" spans="2:8" x14ac:dyDescent="0.2">
      <c r="B600" s="51">
        <f t="shared" si="60"/>
        <v>0</v>
      </c>
      <c r="C600" s="8">
        <f t="shared" si="61"/>
        <v>0</v>
      </c>
      <c r="D600" s="9">
        <f t="shared" si="62"/>
        <v>0</v>
      </c>
      <c r="E600" s="9">
        <f t="shared" si="63"/>
        <v>0</v>
      </c>
      <c r="F600" s="8">
        <f t="shared" si="64"/>
        <v>0</v>
      </c>
      <c r="G600" s="16"/>
      <c r="H600" s="8">
        <f t="shared" si="65"/>
        <v>0</v>
      </c>
    </row>
    <row r="601" spans="2:8" x14ac:dyDescent="0.2">
      <c r="B601" s="51">
        <f t="shared" si="60"/>
        <v>0</v>
      </c>
      <c r="C601" s="8">
        <f t="shared" si="61"/>
        <v>0</v>
      </c>
      <c r="D601" s="9">
        <f t="shared" si="62"/>
        <v>0</v>
      </c>
      <c r="E601" s="9">
        <f t="shared" si="63"/>
        <v>0</v>
      </c>
      <c r="F601" s="8">
        <f t="shared" si="64"/>
        <v>0</v>
      </c>
      <c r="G601" s="16"/>
      <c r="H601" s="8">
        <f t="shared" si="65"/>
        <v>0</v>
      </c>
    </row>
    <row r="602" spans="2:8" x14ac:dyDescent="0.2">
      <c r="B602" s="51">
        <f t="shared" si="60"/>
        <v>0</v>
      </c>
      <c r="C602" s="8">
        <f t="shared" si="61"/>
        <v>0</v>
      </c>
      <c r="D602" s="9">
        <f t="shared" si="62"/>
        <v>0</v>
      </c>
      <c r="E602" s="9">
        <f t="shared" si="63"/>
        <v>0</v>
      </c>
      <c r="F602" s="8">
        <f t="shared" si="64"/>
        <v>0</v>
      </c>
      <c r="G602" s="16"/>
      <c r="H602" s="8">
        <f t="shared" si="65"/>
        <v>0</v>
      </c>
    </row>
    <row r="603" spans="2:8" x14ac:dyDescent="0.2">
      <c r="B603" s="51">
        <f t="shared" si="60"/>
        <v>0</v>
      </c>
      <c r="C603" s="8">
        <f t="shared" si="61"/>
        <v>0</v>
      </c>
      <c r="D603" s="9">
        <f t="shared" si="62"/>
        <v>0</v>
      </c>
      <c r="E603" s="9">
        <f t="shared" si="63"/>
        <v>0</v>
      </c>
      <c r="F603" s="8">
        <f t="shared" si="64"/>
        <v>0</v>
      </c>
      <c r="G603" s="16"/>
      <c r="H603" s="8">
        <f t="shared" si="65"/>
        <v>0</v>
      </c>
    </row>
    <row r="604" spans="2:8" x14ac:dyDescent="0.2">
      <c r="B604" s="51">
        <f t="shared" si="60"/>
        <v>0</v>
      </c>
      <c r="C604" s="8">
        <f t="shared" si="61"/>
        <v>0</v>
      </c>
      <c r="D604" s="9">
        <f t="shared" si="62"/>
        <v>0</v>
      </c>
      <c r="E604" s="9">
        <f t="shared" si="63"/>
        <v>0</v>
      </c>
      <c r="F604" s="8">
        <f t="shared" si="64"/>
        <v>0</v>
      </c>
      <c r="G604" s="16"/>
      <c r="H604" s="8">
        <f t="shared" si="65"/>
        <v>0</v>
      </c>
    </row>
    <row r="605" spans="2:8" x14ac:dyDescent="0.2">
      <c r="B605" s="51">
        <f t="shared" si="60"/>
        <v>0</v>
      </c>
      <c r="C605" s="8">
        <f t="shared" si="61"/>
        <v>0</v>
      </c>
      <c r="D605" s="9">
        <f t="shared" si="62"/>
        <v>0</v>
      </c>
      <c r="E605" s="9">
        <f t="shared" si="63"/>
        <v>0</v>
      </c>
      <c r="F605" s="8">
        <f t="shared" si="64"/>
        <v>0</v>
      </c>
      <c r="G605" s="16"/>
      <c r="H605" s="8">
        <f t="shared" si="65"/>
        <v>0</v>
      </c>
    </row>
    <row r="606" spans="2:8" x14ac:dyDescent="0.2">
      <c r="B606" s="51">
        <f t="shared" si="60"/>
        <v>0</v>
      </c>
      <c r="C606" s="8">
        <f t="shared" si="61"/>
        <v>0</v>
      </c>
      <c r="D606" s="9">
        <f t="shared" si="62"/>
        <v>0</v>
      </c>
      <c r="E606" s="9">
        <f t="shared" si="63"/>
        <v>0</v>
      </c>
      <c r="F606" s="8">
        <f t="shared" si="64"/>
        <v>0</v>
      </c>
      <c r="G606" s="16"/>
      <c r="H606" s="8">
        <f t="shared" si="65"/>
        <v>0</v>
      </c>
    </row>
    <row r="607" spans="2:8" x14ac:dyDescent="0.2">
      <c r="B607" s="51">
        <f t="shared" si="60"/>
        <v>0</v>
      </c>
      <c r="C607" s="8">
        <f t="shared" si="61"/>
        <v>0</v>
      </c>
      <c r="D607" s="9">
        <f t="shared" si="62"/>
        <v>0</v>
      </c>
      <c r="E607" s="9">
        <f t="shared" si="63"/>
        <v>0</v>
      </c>
      <c r="F607" s="8">
        <f t="shared" si="64"/>
        <v>0</v>
      </c>
      <c r="G607" s="16"/>
      <c r="H607" s="8">
        <f t="shared" si="65"/>
        <v>0</v>
      </c>
    </row>
    <row r="608" spans="2:8" x14ac:dyDescent="0.2">
      <c r="B608" s="51">
        <f t="shared" si="60"/>
        <v>0</v>
      </c>
      <c r="C608" s="8">
        <f t="shared" si="61"/>
        <v>0</v>
      </c>
      <c r="D608" s="9">
        <f t="shared" si="62"/>
        <v>0</v>
      </c>
      <c r="E608" s="9">
        <f t="shared" si="63"/>
        <v>0</v>
      </c>
      <c r="F608" s="8">
        <f t="shared" si="64"/>
        <v>0</v>
      </c>
      <c r="G608" s="16"/>
      <c r="H608" s="8">
        <f t="shared" si="65"/>
        <v>0</v>
      </c>
    </row>
    <row r="609" spans="2:8" x14ac:dyDescent="0.2">
      <c r="B609" s="51">
        <f t="shared" si="60"/>
        <v>0</v>
      </c>
      <c r="C609" s="8">
        <f t="shared" si="61"/>
        <v>0</v>
      </c>
      <c r="D609" s="9">
        <f t="shared" si="62"/>
        <v>0</v>
      </c>
      <c r="E609" s="9">
        <f t="shared" si="63"/>
        <v>0</v>
      </c>
      <c r="F609" s="8">
        <f t="shared" si="64"/>
        <v>0</v>
      </c>
      <c r="G609" s="16"/>
      <c r="H609" s="8">
        <f t="shared" si="65"/>
        <v>0</v>
      </c>
    </row>
    <row r="610" spans="2:8" x14ac:dyDescent="0.2">
      <c r="B610" s="51">
        <f t="shared" si="60"/>
        <v>0</v>
      </c>
      <c r="C610" s="8">
        <f t="shared" si="61"/>
        <v>0</v>
      </c>
      <c r="D610" s="9">
        <f t="shared" si="62"/>
        <v>0</v>
      </c>
      <c r="E610" s="9">
        <f t="shared" si="63"/>
        <v>0</v>
      </c>
      <c r="F610" s="8">
        <f t="shared" si="64"/>
        <v>0</v>
      </c>
      <c r="G610" s="16"/>
      <c r="H610" s="8">
        <f t="shared" si="65"/>
        <v>0</v>
      </c>
    </row>
    <row r="611" spans="2:8" x14ac:dyDescent="0.2">
      <c r="B611" s="51">
        <f t="shared" si="60"/>
        <v>0</v>
      </c>
      <c r="C611" s="8">
        <f t="shared" si="61"/>
        <v>0</v>
      </c>
      <c r="D611" s="9">
        <f t="shared" si="62"/>
        <v>0</v>
      </c>
      <c r="E611" s="9">
        <f t="shared" si="63"/>
        <v>0</v>
      </c>
      <c r="F611" s="8">
        <f t="shared" si="64"/>
        <v>0</v>
      </c>
      <c r="G611" s="16"/>
      <c r="H611" s="8">
        <f t="shared" si="65"/>
        <v>0</v>
      </c>
    </row>
    <row r="612" spans="2:8" x14ac:dyDescent="0.2">
      <c r="B612" s="51">
        <f t="shared" si="60"/>
        <v>0</v>
      </c>
      <c r="C612" s="8">
        <f t="shared" si="61"/>
        <v>0</v>
      </c>
      <c r="D612" s="9">
        <f t="shared" si="62"/>
        <v>0</v>
      </c>
      <c r="E612" s="9">
        <f t="shared" si="63"/>
        <v>0</v>
      </c>
      <c r="F612" s="8">
        <f t="shared" si="64"/>
        <v>0</v>
      </c>
      <c r="G612" s="16"/>
      <c r="H612" s="8">
        <f t="shared" si="65"/>
        <v>0</v>
      </c>
    </row>
    <row r="613" spans="2:8" x14ac:dyDescent="0.2">
      <c r="B613" s="51">
        <f t="shared" si="60"/>
        <v>0</v>
      </c>
      <c r="C613" s="8">
        <f t="shared" si="61"/>
        <v>0</v>
      </c>
      <c r="D613" s="9">
        <f t="shared" si="62"/>
        <v>0</v>
      </c>
      <c r="E613" s="9">
        <f t="shared" si="63"/>
        <v>0</v>
      </c>
      <c r="F613" s="8">
        <f t="shared" si="64"/>
        <v>0</v>
      </c>
      <c r="G613" s="16"/>
      <c r="H613" s="8">
        <f t="shared" si="65"/>
        <v>0</v>
      </c>
    </row>
    <row r="614" spans="2:8" x14ac:dyDescent="0.2">
      <c r="B614" s="51">
        <f t="shared" si="60"/>
        <v>0</v>
      </c>
      <c r="C614" s="8">
        <f t="shared" si="61"/>
        <v>0</v>
      </c>
      <c r="D614" s="9">
        <f t="shared" si="62"/>
        <v>0</v>
      </c>
      <c r="E614" s="9">
        <f t="shared" si="63"/>
        <v>0</v>
      </c>
      <c r="F614" s="8">
        <f t="shared" si="64"/>
        <v>0</v>
      </c>
      <c r="G614" s="16"/>
      <c r="H614" s="8">
        <f t="shared" si="65"/>
        <v>0</v>
      </c>
    </row>
    <row r="615" spans="2:8" x14ac:dyDescent="0.2">
      <c r="B615" s="51">
        <f t="shared" si="60"/>
        <v>0</v>
      </c>
      <c r="C615" s="8">
        <f t="shared" si="61"/>
        <v>0</v>
      </c>
      <c r="D615" s="9">
        <f t="shared" si="62"/>
        <v>0</v>
      </c>
      <c r="E615" s="9">
        <f t="shared" si="63"/>
        <v>0</v>
      </c>
      <c r="F615" s="8">
        <f t="shared" si="64"/>
        <v>0</v>
      </c>
      <c r="G615" s="16"/>
      <c r="H615" s="8">
        <f t="shared" si="65"/>
        <v>0</v>
      </c>
    </row>
    <row r="616" spans="2:8" x14ac:dyDescent="0.2">
      <c r="B616" s="51">
        <f t="shared" si="60"/>
        <v>0</v>
      </c>
      <c r="C616" s="8">
        <f t="shared" si="61"/>
        <v>0</v>
      </c>
      <c r="D616" s="9">
        <f t="shared" si="62"/>
        <v>0</v>
      </c>
      <c r="E616" s="9">
        <f t="shared" si="63"/>
        <v>0</v>
      </c>
      <c r="F616" s="8">
        <f t="shared" si="64"/>
        <v>0</v>
      </c>
      <c r="G616" s="16"/>
      <c r="H616" s="8">
        <f t="shared" si="65"/>
        <v>0</v>
      </c>
    </row>
    <row r="617" spans="2:8" x14ac:dyDescent="0.2">
      <c r="B617" s="51">
        <f t="shared" si="60"/>
        <v>0</v>
      </c>
      <c r="C617" s="8">
        <f t="shared" si="61"/>
        <v>0</v>
      </c>
      <c r="D617" s="9">
        <f t="shared" si="62"/>
        <v>0</v>
      </c>
      <c r="E617" s="9">
        <f t="shared" si="63"/>
        <v>0</v>
      </c>
      <c r="F617" s="8">
        <f t="shared" si="64"/>
        <v>0</v>
      </c>
      <c r="G617" s="16"/>
      <c r="H617" s="8">
        <f t="shared" si="65"/>
        <v>0</v>
      </c>
    </row>
    <row r="618" spans="2:8" x14ac:dyDescent="0.2">
      <c r="B618" s="51">
        <f t="shared" si="60"/>
        <v>0</v>
      </c>
      <c r="C618" s="8">
        <f t="shared" si="61"/>
        <v>0</v>
      </c>
      <c r="D618" s="9">
        <f t="shared" si="62"/>
        <v>0</v>
      </c>
      <c r="E618" s="9">
        <f t="shared" si="63"/>
        <v>0</v>
      </c>
      <c r="F618" s="8">
        <f t="shared" si="64"/>
        <v>0</v>
      </c>
      <c r="G618" s="16"/>
      <c r="H618" s="8">
        <f t="shared" si="65"/>
        <v>0</v>
      </c>
    </row>
    <row r="619" spans="2:8" x14ac:dyDescent="0.2">
      <c r="B619" s="51">
        <f t="shared" si="60"/>
        <v>0</v>
      </c>
      <c r="C619" s="8">
        <f t="shared" si="61"/>
        <v>0</v>
      </c>
      <c r="D619" s="9">
        <f t="shared" si="62"/>
        <v>0</v>
      </c>
      <c r="E619" s="9">
        <f t="shared" si="63"/>
        <v>0</v>
      </c>
      <c r="F619" s="8">
        <f t="shared" si="64"/>
        <v>0</v>
      </c>
      <c r="G619" s="16"/>
      <c r="H619" s="8">
        <f t="shared" si="65"/>
        <v>0</v>
      </c>
    </row>
    <row r="620" spans="2:8" x14ac:dyDescent="0.2">
      <c r="B620" s="51">
        <f t="shared" si="60"/>
        <v>0</v>
      </c>
      <c r="C620" s="8">
        <f t="shared" si="61"/>
        <v>0</v>
      </c>
      <c r="D620" s="9">
        <f t="shared" si="62"/>
        <v>0</v>
      </c>
      <c r="E620" s="9">
        <f t="shared" si="63"/>
        <v>0</v>
      </c>
      <c r="F620" s="8">
        <f t="shared" si="64"/>
        <v>0</v>
      </c>
      <c r="G620" s="16"/>
      <c r="H620" s="8">
        <f t="shared" si="65"/>
        <v>0</v>
      </c>
    </row>
    <row r="621" spans="2:8" x14ac:dyDescent="0.2">
      <c r="B621" s="51">
        <f t="shared" si="60"/>
        <v>0</v>
      </c>
      <c r="C621" s="8">
        <f t="shared" si="61"/>
        <v>0</v>
      </c>
      <c r="D621" s="9">
        <f t="shared" si="62"/>
        <v>0</v>
      </c>
      <c r="E621" s="9">
        <f t="shared" si="63"/>
        <v>0</v>
      </c>
      <c r="F621" s="8">
        <f t="shared" si="64"/>
        <v>0</v>
      </c>
      <c r="G621" s="16"/>
      <c r="H621" s="8">
        <f t="shared" si="65"/>
        <v>0</v>
      </c>
    </row>
    <row r="622" spans="2:8" x14ac:dyDescent="0.2">
      <c r="B622" s="51">
        <f t="shared" si="60"/>
        <v>0</v>
      </c>
      <c r="C622" s="8">
        <f t="shared" si="61"/>
        <v>0</v>
      </c>
      <c r="D622" s="9">
        <f t="shared" si="62"/>
        <v>0</v>
      </c>
      <c r="E622" s="9">
        <f t="shared" si="63"/>
        <v>0</v>
      </c>
      <c r="F622" s="8">
        <f t="shared" si="64"/>
        <v>0</v>
      </c>
      <c r="G622" s="16"/>
      <c r="H622" s="8">
        <f t="shared" si="65"/>
        <v>0</v>
      </c>
    </row>
    <row r="623" spans="2:8" x14ac:dyDescent="0.2">
      <c r="B623" s="51">
        <f t="shared" si="60"/>
        <v>0</v>
      </c>
      <c r="C623" s="8">
        <f t="shared" si="61"/>
        <v>0</v>
      </c>
      <c r="D623" s="9">
        <f t="shared" si="62"/>
        <v>0</v>
      </c>
      <c r="E623" s="9">
        <f t="shared" si="63"/>
        <v>0</v>
      </c>
      <c r="F623" s="8">
        <f t="shared" si="64"/>
        <v>0</v>
      </c>
      <c r="G623" s="16"/>
      <c r="H623" s="8">
        <f t="shared" si="65"/>
        <v>0</v>
      </c>
    </row>
    <row r="624" spans="2:8" x14ac:dyDescent="0.2">
      <c r="B624" s="51">
        <f t="shared" si="60"/>
        <v>0</v>
      </c>
      <c r="C624" s="8">
        <f t="shared" si="61"/>
        <v>0</v>
      </c>
      <c r="D624" s="9">
        <f t="shared" si="62"/>
        <v>0</v>
      </c>
      <c r="E624" s="9">
        <f t="shared" si="63"/>
        <v>0</v>
      </c>
      <c r="F624" s="8">
        <f t="shared" si="64"/>
        <v>0</v>
      </c>
      <c r="G624" s="16"/>
      <c r="H624" s="8">
        <f t="shared" si="65"/>
        <v>0</v>
      </c>
    </row>
    <row r="625" spans="2:8" x14ac:dyDescent="0.2">
      <c r="B625" s="51">
        <f t="shared" si="60"/>
        <v>0</v>
      </c>
      <c r="C625" s="8">
        <f t="shared" si="61"/>
        <v>0</v>
      </c>
      <c r="D625" s="9">
        <f t="shared" si="62"/>
        <v>0</v>
      </c>
      <c r="E625" s="9">
        <f t="shared" si="63"/>
        <v>0</v>
      </c>
      <c r="F625" s="8">
        <f t="shared" si="64"/>
        <v>0</v>
      </c>
      <c r="G625" s="16"/>
      <c r="H625" s="8">
        <f t="shared" si="65"/>
        <v>0</v>
      </c>
    </row>
    <row r="626" spans="2:8" x14ac:dyDescent="0.2">
      <c r="B626" s="51">
        <f t="shared" si="60"/>
        <v>0</v>
      </c>
      <c r="C626" s="8">
        <f t="shared" si="61"/>
        <v>0</v>
      </c>
      <c r="D626" s="9">
        <f t="shared" si="62"/>
        <v>0</v>
      </c>
      <c r="E626" s="9">
        <f t="shared" si="63"/>
        <v>0</v>
      </c>
      <c r="F626" s="8">
        <f t="shared" si="64"/>
        <v>0</v>
      </c>
      <c r="G626" s="16"/>
      <c r="H626" s="8">
        <f t="shared" si="65"/>
        <v>0</v>
      </c>
    </row>
    <row r="627" spans="2:8" x14ac:dyDescent="0.2">
      <c r="B627" s="51">
        <f t="shared" ref="B627:B690" si="66">IF(AND(B626&gt;0,B626&lt;E$8),B626+1,0)</f>
        <v>0</v>
      </c>
      <c r="C627" s="8">
        <f t="shared" ref="C627:C690" si="67">IF(B627&gt;0,H626,0)</f>
        <v>0</v>
      </c>
      <c r="D627" s="9">
        <f t="shared" ref="D627:D690" si="68">IF(B627&gt;0,C627*$F$8,0)</f>
        <v>0</v>
      </c>
      <c r="E627" s="9">
        <f t="shared" ref="E627:E690" si="69">IF(B627&gt;0,C627+D627,0)</f>
        <v>0</v>
      </c>
      <c r="F627" s="8">
        <f t="shared" ref="F627:F690" si="70">IF(B627&gt;0,$D$8,0)</f>
        <v>0</v>
      </c>
      <c r="G627" s="16"/>
      <c r="H627" s="8">
        <f t="shared" ref="H627:H690" si="71">IF(B627&gt;0,E627+F627+G627,0)</f>
        <v>0</v>
      </c>
    </row>
    <row r="628" spans="2:8" x14ac:dyDescent="0.2">
      <c r="B628" s="51">
        <f t="shared" si="66"/>
        <v>0</v>
      </c>
      <c r="C628" s="8">
        <f t="shared" si="67"/>
        <v>0</v>
      </c>
      <c r="D628" s="9">
        <f t="shared" si="68"/>
        <v>0</v>
      </c>
      <c r="E628" s="9">
        <f t="shared" si="69"/>
        <v>0</v>
      </c>
      <c r="F628" s="8">
        <f t="shared" si="70"/>
        <v>0</v>
      </c>
      <c r="G628" s="16"/>
      <c r="H628" s="8">
        <f t="shared" si="71"/>
        <v>0</v>
      </c>
    </row>
    <row r="629" spans="2:8" x14ac:dyDescent="0.2">
      <c r="B629" s="51">
        <f t="shared" si="66"/>
        <v>0</v>
      </c>
      <c r="C629" s="8">
        <f t="shared" si="67"/>
        <v>0</v>
      </c>
      <c r="D629" s="9">
        <f t="shared" si="68"/>
        <v>0</v>
      </c>
      <c r="E629" s="9">
        <f t="shared" si="69"/>
        <v>0</v>
      </c>
      <c r="F629" s="8">
        <f t="shared" si="70"/>
        <v>0</v>
      </c>
      <c r="G629" s="16"/>
      <c r="H629" s="8">
        <f t="shared" si="71"/>
        <v>0</v>
      </c>
    </row>
    <row r="630" spans="2:8" x14ac:dyDescent="0.2">
      <c r="B630" s="51">
        <f t="shared" si="66"/>
        <v>0</v>
      </c>
      <c r="C630" s="8">
        <f t="shared" si="67"/>
        <v>0</v>
      </c>
      <c r="D630" s="9">
        <f t="shared" si="68"/>
        <v>0</v>
      </c>
      <c r="E630" s="9">
        <f t="shared" si="69"/>
        <v>0</v>
      </c>
      <c r="F630" s="8">
        <f t="shared" si="70"/>
        <v>0</v>
      </c>
      <c r="G630" s="16"/>
      <c r="H630" s="8">
        <f t="shared" si="71"/>
        <v>0</v>
      </c>
    </row>
    <row r="631" spans="2:8" x14ac:dyDescent="0.2">
      <c r="B631" s="51">
        <f t="shared" si="66"/>
        <v>0</v>
      </c>
      <c r="C631" s="8">
        <f t="shared" si="67"/>
        <v>0</v>
      </c>
      <c r="D631" s="9">
        <f t="shared" si="68"/>
        <v>0</v>
      </c>
      <c r="E631" s="9">
        <f t="shared" si="69"/>
        <v>0</v>
      </c>
      <c r="F631" s="8">
        <f t="shared" si="70"/>
        <v>0</v>
      </c>
      <c r="G631" s="16"/>
      <c r="H631" s="8">
        <f t="shared" si="71"/>
        <v>0</v>
      </c>
    </row>
    <row r="632" spans="2:8" x14ac:dyDescent="0.2">
      <c r="B632" s="51">
        <f t="shared" si="66"/>
        <v>0</v>
      </c>
      <c r="C632" s="8">
        <f t="shared" si="67"/>
        <v>0</v>
      </c>
      <c r="D632" s="9">
        <f t="shared" si="68"/>
        <v>0</v>
      </c>
      <c r="E632" s="9">
        <f t="shared" si="69"/>
        <v>0</v>
      </c>
      <c r="F632" s="8">
        <f t="shared" si="70"/>
        <v>0</v>
      </c>
      <c r="G632" s="16"/>
      <c r="H632" s="8">
        <f t="shared" si="71"/>
        <v>0</v>
      </c>
    </row>
    <row r="633" spans="2:8" x14ac:dyDescent="0.2">
      <c r="B633" s="51">
        <f t="shared" si="66"/>
        <v>0</v>
      </c>
      <c r="C633" s="8">
        <f t="shared" si="67"/>
        <v>0</v>
      </c>
      <c r="D633" s="9">
        <f t="shared" si="68"/>
        <v>0</v>
      </c>
      <c r="E633" s="9">
        <f t="shared" si="69"/>
        <v>0</v>
      </c>
      <c r="F633" s="8">
        <f t="shared" si="70"/>
        <v>0</v>
      </c>
      <c r="G633" s="16"/>
      <c r="H633" s="8">
        <f t="shared" si="71"/>
        <v>0</v>
      </c>
    </row>
    <row r="634" spans="2:8" x14ac:dyDescent="0.2">
      <c r="B634" s="51">
        <f t="shared" si="66"/>
        <v>0</v>
      </c>
      <c r="C634" s="8">
        <f t="shared" si="67"/>
        <v>0</v>
      </c>
      <c r="D634" s="9">
        <f t="shared" si="68"/>
        <v>0</v>
      </c>
      <c r="E634" s="9">
        <f t="shared" si="69"/>
        <v>0</v>
      </c>
      <c r="F634" s="8">
        <f t="shared" si="70"/>
        <v>0</v>
      </c>
      <c r="G634" s="16"/>
      <c r="H634" s="8">
        <f t="shared" si="71"/>
        <v>0</v>
      </c>
    </row>
    <row r="635" spans="2:8" x14ac:dyDescent="0.2">
      <c r="B635" s="51">
        <f t="shared" si="66"/>
        <v>0</v>
      </c>
      <c r="C635" s="8">
        <f t="shared" si="67"/>
        <v>0</v>
      </c>
      <c r="D635" s="9">
        <f t="shared" si="68"/>
        <v>0</v>
      </c>
      <c r="E635" s="9">
        <f t="shared" si="69"/>
        <v>0</v>
      </c>
      <c r="F635" s="8">
        <f t="shared" si="70"/>
        <v>0</v>
      </c>
      <c r="G635" s="16"/>
      <c r="H635" s="8">
        <f t="shared" si="71"/>
        <v>0</v>
      </c>
    </row>
    <row r="636" spans="2:8" x14ac:dyDescent="0.2">
      <c r="B636" s="51">
        <f t="shared" si="66"/>
        <v>0</v>
      </c>
      <c r="C636" s="8">
        <f t="shared" si="67"/>
        <v>0</v>
      </c>
      <c r="D636" s="9">
        <f t="shared" si="68"/>
        <v>0</v>
      </c>
      <c r="E636" s="9">
        <f t="shared" si="69"/>
        <v>0</v>
      </c>
      <c r="F636" s="8">
        <f t="shared" si="70"/>
        <v>0</v>
      </c>
      <c r="G636" s="16"/>
      <c r="H636" s="8">
        <f t="shared" si="71"/>
        <v>0</v>
      </c>
    </row>
    <row r="637" spans="2:8" x14ac:dyDescent="0.2">
      <c r="B637" s="51">
        <f t="shared" si="66"/>
        <v>0</v>
      </c>
      <c r="C637" s="8">
        <f t="shared" si="67"/>
        <v>0</v>
      </c>
      <c r="D637" s="9">
        <f t="shared" si="68"/>
        <v>0</v>
      </c>
      <c r="E637" s="9">
        <f t="shared" si="69"/>
        <v>0</v>
      </c>
      <c r="F637" s="8">
        <f t="shared" si="70"/>
        <v>0</v>
      </c>
      <c r="G637" s="16"/>
      <c r="H637" s="8">
        <f t="shared" si="71"/>
        <v>0</v>
      </c>
    </row>
    <row r="638" spans="2:8" x14ac:dyDescent="0.2">
      <c r="B638" s="51">
        <f t="shared" si="66"/>
        <v>0</v>
      </c>
      <c r="C638" s="8">
        <f t="shared" si="67"/>
        <v>0</v>
      </c>
      <c r="D638" s="9">
        <f t="shared" si="68"/>
        <v>0</v>
      </c>
      <c r="E638" s="9">
        <f t="shared" si="69"/>
        <v>0</v>
      </c>
      <c r="F638" s="8">
        <f t="shared" si="70"/>
        <v>0</v>
      </c>
      <c r="G638" s="16"/>
      <c r="H638" s="8">
        <f t="shared" si="71"/>
        <v>0</v>
      </c>
    </row>
    <row r="639" spans="2:8" x14ac:dyDescent="0.2">
      <c r="B639" s="51">
        <f t="shared" si="66"/>
        <v>0</v>
      </c>
      <c r="C639" s="8">
        <f t="shared" si="67"/>
        <v>0</v>
      </c>
      <c r="D639" s="9">
        <f t="shared" si="68"/>
        <v>0</v>
      </c>
      <c r="E639" s="9">
        <f t="shared" si="69"/>
        <v>0</v>
      </c>
      <c r="F639" s="8">
        <f t="shared" si="70"/>
        <v>0</v>
      </c>
      <c r="G639" s="16"/>
      <c r="H639" s="8">
        <f t="shared" si="71"/>
        <v>0</v>
      </c>
    </row>
    <row r="640" spans="2:8" x14ac:dyDescent="0.2">
      <c r="B640" s="51">
        <f t="shared" si="66"/>
        <v>0</v>
      </c>
      <c r="C640" s="8">
        <f t="shared" si="67"/>
        <v>0</v>
      </c>
      <c r="D640" s="9">
        <f t="shared" si="68"/>
        <v>0</v>
      </c>
      <c r="E640" s="9">
        <f t="shared" si="69"/>
        <v>0</v>
      </c>
      <c r="F640" s="8">
        <f t="shared" si="70"/>
        <v>0</v>
      </c>
      <c r="G640" s="16"/>
      <c r="H640" s="8">
        <f t="shared" si="71"/>
        <v>0</v>
      </c>
    </row>
    <row r="641" spans="2:8" x14ac:dyDescent="0.2">
      <c r="B641" s="51">
        <f t="shared" si="66"/>
        <v>0</v>
      </c>
      <c r="C641" s="8">
        <f t="shared" si="67"/>
        <v>0</v>
      </c>
      <c r="D641" s="9">
        <f t="shared" si="68"/>
        <v>0</v>
      </c>
      <c r="E641" s="9">
        <f t="shared" si="69"/>
        <v>0</v>
      </c>
      <c r="F641" s="8">
        <f t="shared" si="70"/>
        <v>0</v>
      </c>
      <c r="G641" s="16"/>
      <c r="H641" s="8">
        <f t="shared" si="71"/>
        <v>0</v>
      </c>
    </row>
    <row r="642" spans="2:8" x14ac:dyDescent="0.2">
      <c r="B642" s="51">
        <f t="shared" si="66"/>
        <v>0</v>
      </c>
      <c r="C642" s="8">
        <f t="shared" si="67"/>
        <v>0</v>
      </c>
      <c r="D642" s="9">
        <f t="shared" si="68"/>
        <v>0</v>
      </c>
      <c r="E642" s="9">
        <f t="shared" si="69"/>
        <v>0</v>
      </c>
      <c r="F642" s="8">
        <f t="shared" si="70"/>
        <v>0</v>
      </c>
      <c r="G642" s="16"/>
      <c r="H642" s="8">
        <f t="shared" si="71"/>
        <v>0</v>
      </c>
    </row>
    <row r="643" spans="2:8" x14ac:dyDescent="0.2">
      <c r="B643" s="51">
        <f t="shared" si="66"/>
        <v>0</v>
      </c>
      <c r="C643" s="8">
        <f t="shared" si="67"/>
        <v>0</v>
      </c>
      <c r="D643" s="9">
        <f t="shared" si="68"/>
        <v>0</v>
      </c>
      <c r="E643" s="9">
        <f t="shared" si="69"/>
        <v>0</v>
      </c>
      <c r="F643" s="8">
        <f t="shared" si="70"/>
        <v>0</v>
      </c>
      <c r="G643" s="16"/>
      <c r="H643" s="8">
        <f t="shared" si="71"/>
        <v>0</v>
      </c>
    </row>
    <row r="644" spans="2:8" x14ac:dyDescent="0.2">
      <c r="B644" s="51">
        <f t="shared" si="66"/>
        <v>0</v>
      </c>
      <c r="C644" s="8">
        <f t="shared" si="67"/>
        <v>0</v>
      </c>
      <c r="D644" s="9">
        <f t="shared" si="68"/>
        <v>0</v>
      </c>
      <c r="E644" s="9">
        <f t="shared" si="69"/>
        <v>0</v>
      </c>
      <c r="F644" s="8">
        <f t="shared" si="70"/>
        <v>0</v>
      </c>
      <c r="G644" s="16"/>
      <c r="H644" s="8">
        <f t="shared" si="71"/>
        <v>0</v>
      </c>
    </row>
    <row r="645" spans="2:8" x14ac:dyDescent="0.2">
      <c r="B645" s="51">
        <f t="shared" si="66"/>
        <v>0</v>
      </c>
      <c r="C645" s="8">
        <f t="shared" si="67"/>
        <v>0</v>
      </c>
      <c r="D645" s="9">
        <f t="shared" si="68"/>
        <v>0</v>
      </c>
      <c r="E645" s="9">
        <f t="shared" si="69"/>
        <v>0</v>
      </c>
      <c r="F645" s="8">
        <f t="shared" si="70"/>
        <v>0</v>
      </c>
      <c r="G645" s="16"/>
      <c r="H645" s="8">
        <f t="shared" si="71"/>
        <v>0</v>
      </c>
    </row>
    <row r="646" spans="2:8" x14ac:dyDescent="0.2">
      <c r="B646" s="51">
        <f t="shared" si="66"/>
        <v>0</v>
      </c>
      <c r="C646" s="8">
        <f t="shared" si="67"/>
        <v>0</v>
      </c>
      <c r="D646" s="9">
        <f t="shared" si="68"/>
        <v>0</v>
      </c>
      <c r="E646" s="9">
        <f t="shared" si="69"/>
        <v>0</v>
      </c>
      <c r="F646" s="8">
        <f t="shared" si="70"/>
        <v>0</v>
      </c>
      <c r="G646" s="16"/>
      <c r="H646" s="8">
        <f t="shared" si="71"/>
        <v>0</v>
      </c>
    </row>
    <row r="647" spans="2:8" x14ac:dyDescent="0.2">
      <c r="B647" s="51">
        <f t="shared" si="66"/>
        <v>0</v>
      </c>
      <c r="C647" s="8">
        <f t="shared" si="67"/>
        <v>0</v>
      </c>
      <c r="D647" s="9">
        <f t="shared" si="68"/>
        <v>0</v>
      </c>
      <c r="E647" s="9">
        <f t="shared" si="69"/>
        <v>0</v>
      </c>
      <c r="F647" s="8">
        <f t="shared" si="70"/>
        <v>0</v>
      </c>
      <c r="G647" s="16"/>
      <c r="H647" s="8">
        <f t="shared" si="71"/>
        <v>0</v>
      </c>
    </row>
    <row r="648" spans="2:8" x14ac:dyDescent="0.2">
      <c r="B648" s="51">
        <f t="shared" si="66"/>
        <v>0</v>
      </c>
      <c r="C648" s="8">
        <f t="shared" si="67"/>
        <v>0</v>
      </c>
      <c r="D648" s="9">
        <f t="shared" si="68"/>
        <v>0</v>
      </c>
      <c r="E648" s="9">
        <f t="shared" si="69"/>
        <v>0</v>
      </c>
      <c r="F648" s="8">
        <f t="shared" si="70"/>
        <v>0</v>
      </c>
      <c r="G648" s="16"/>
      <c r="H648" s="8">
        <f t="shared" si="71"/>
        <v>0</v>
      </c>
    </row>
    <row r="649" spans="2:8" x14ac:dyDescent="0.2">
      <c r="B649" s="51">
        <f t="shared" si="66"/>
        <v>0</v>
      </c>
      <c r="C649" s="8">
        <f t="shared" si="67"/>
        <v>0</v>
      </c>
      <c r="D649" s="9">
        <f t="shared" si="68"/>
        <v>0</v>
      </c>
      <c r="E649" s="9">
        <f t="shared" si="69"/>
        <v>0</v>
      </c>
      <c r="F649" s="8">
        <f t="shared" si="70"/>
        <v>0</v>
      </c>
      <c r="G649" s="16"/>
      <c r="H649" s="8">
        <f t="shared" si="71"/>
        <v>0</v>
      </c>
    </row>
    <row r="650" spans="2:8" x14ac:dyDescent="0.2">
      <c r="B650" s="51">
        <f t="shared" si="66"/>
        <v>0</v>
      </c>
      <c r="C650" s="8">
        <f t="shared" si="67"/>
        <v>0</v>
      </c>
      <c r="D650" s="9">
        <f t="shared" si="68"/>
        <v>0</v>
      </c>
      <c r="E650" s="9">
        <f t="shared" si="69"/>
        <v>0</v>
      </c>
      <c r="F650" s="8">
        <f t="shared" si="70"/>
        <v>0</v>
      </c>
      <c r="G650" s="16"/>
      <c r="H650" s="8">
        <f t="shared" si="71"/>
        <v>0</v>
      </c>
    </row>
    <row r="651" spans="2:8" x14ac:dyDescent="0.2">
      <c r="B651" s="51">
        <f t="shared" si="66"/>
        <v>0</v>
      </c>
      <c r="C651" s="8">
        <f t="shared" si="67"/>
        <v>0</v>
      </c>
      <c r="D651" s="9">
        <f t="shared" si="68"/>
        <v>0</v>
      </c>
      <c r="E651" s="9">
        <f t="shared" si="69"/>
        <v>0</v>
      </c>
      <c r="F651" s="8">
        <f t="shared" si="70"/>
        <v>0</v>
      </c>
      <c r="G651" s="16"/>
      <c r="H651" s="8">
        <f t="shared" si="71"/>
        <v>0</v>
      </c>
    </row>
    <row r="652" spans="2:8" x14ac:dyDescent="0.2">
      <c r="B652" s="51">
        <f t="shared" si="66"/>
        <v>0</v>
      </c>
      <c r="C652" s="8">
        <f t="shared" si="67"/>
        <v>0</v>
      </c>
      <c r="D652" s="9">
        <f t="shared" si="68"/>
        <v>0</v>
      </c>
      <c r="E652" s="9">
        <f t="shared" si="69"/>
        <v>0</v>
      </c>
      <c r="F652" s="8">
        <f t="shared" si="70"/>
        <v>0</v>
      </c>
      <c r="G652" s="16"/>
      <c r="H652" s="8">
        <f t="shared" si="71"/>
        <v>0</v>
      </c>
    </row>
    <row r="653" spans="2:8" x14ac:dyDescent="0.2">
      <c r="B653" s="51">
        <f t="shared" si="66"/>
        <v>0</v>
      </c>
      <c r="C653" s="8">
        <f t="shared" si="67"/>
        <v>0</v>
      </c>
      <c r="D653" s="9">
        <f t="shared" si="68"/>
        <v>0</v>
      </c>
      <c r="E653" s="9">
        <f t="shared" si="69"/>
        <v>0</v>
      </c>
      <c r="F653" s="8">
        <f t="shared" si="70"/>
        <v>0</v>
      </c>
      <c r="G653" s="16"/>
      <c r="H653" s="8">
        <f t="shared" si="71"/>
        <v>0</v>
      </c>
    </row>
    <row r="654" spans="2:8" x14ac:dyDescent="0.2">
      <c r="B654" s="51">
        <f t="shared" si="66"/>
        <v>0</v>
      </c>
      <c r="C654" s="8">
        <f t="shared" si="67"/>
        <v>0</v>
      </c>
      <c r="D654" s="9">
        <f t="shared" si="68"/>
        <v>0</v>
      </c>
      <c r="E654" s="9">
        <f t="shared" si="69"/>
        <v>0</v>
      </c>
      <c r="F654" s="8">
        <f t="shared" si="70"/>
        <v>0</v>
      </c>
      <c r="G654" s="16"/>
      <c r="H654" s="8">
        <f t="shared" si="71"/>
        <v>0</v>
      </c>
    </row>
    <row r="655" spans="2:8" x14ac:dyDescent="0.2">
      <c r="B655" s="51">
        <f t="shared" si="66"/>
        <v>0</v>
      </c>
      <c r="C655" s="8">
        <f t="shared" si="67"/>
        <v>0</v>
      </c>
      <c r="D655" s="9">
        <f t="shared" si="68"/>
        <v>0</v>
      </c>
      <c r="E655" s="9">
        <f t="shared" si="69"/>
        <v>0</v>
      </c>
      <c r="F655" s="8">
        <f t="shared" si="70"/>
        <v>0</v>
      </c>
      <c r="G655" s="16"/>
      <c r="H655" s="8">
        <f t="shared" si="71"/>
        <v>0</v>
      </c>
    </row>
    <row r="656" spans="2:8" x14ac:dyDescent="0.2">
      <c r="B656" s="51">
        <f t="shared" si="66"/>
        <v>0</v>
      </c>
      <c r="C656" s="8">
        <f t="shared" si="67"/>
        <v>0</v>
      </c>
      <c r="D656" s="9">
        <f t="shared" si="68"/>
        <v>0</v>
      </c>
      <c r="E656" s="9">
        <f t="shared" si="69"/>
        <v>0</v>
      </c>
      <c r="F656" s="8">
        <f t="shared" si="70"/>
        <v>0</v>
      </c>
      <c r="G656" s="16"/>
      <c r="H656" s="8">
        <f t="shared" si="71"/>
        <v>0</v>
      </c>
    </row>
    <row r="657" spans="2:8" x14ac:dyDescent="0.2">
      <c r="B657" s="51">
        <f t="shared" si="66"/>
        <v>0</v>
      </c>
      <c r="C657" s="8">
        <f t="shared" si="67"/>
        <v>0</v>
      </c>
      <c r="D657" s="9">
        <f t="shared" si="68"/>
        <v>0</v>
      </c>
      <c r="E657" s="9">
        <f t="shared" si="69"/>
        <v>0</v>
      </c>
      <c r="F657" s="8">
        <f t="shared" si="70"/>
        <v>0</v>
      </c>
      <c r="G657" s="16"/>
      <c r="H657" s="8">
        <f t="shared" si="71"/>
        <v>0</v>
      </c>
    </row>
    <row r="658" spans="2:8" x14ac:dyDescent="0.2">
      <c r="B658" s="51">
        <f t="shared" si="66"/>
        <v>0</v>
      </c>
      <c r="C658" s="8">
        <f t="shared" si="67"/>
        <v>0</v>
      </c>
      <c r="D658" s="9">
        <f t="shared" si="68"/>
        <v>0</v>
      </c>
      <c r="E658" s="9">
        <f t="shared" si="69"/>
        <v>0</v>
      </c>
      <c r="F658" s="8">
        <f t="shared" si="70"/>
        <v>0</v>
      </c>
      <c r="G658" s="16"/>
      <c r="H658" s="8">
        <f t="shared" si="71"/>
        <v>0</v>
      </c>
    </row>
    <row r="659" spans="2:8" x14ac:dyDescent="0.2">
      <c r="B659" s="51">
        <f t="shared" si="66"/>
        <v>0</v>
      </c>
      <c r="C659" s="8">
        <f t="shared" si="67"/>
        <v>0</v>
      </c>
      <c r="D659" s="9">
        <f t="shared" si="68"/>
        <v>0</v>
      </c>
      <c r="E659" s="9">
        <f t="shared" si="69"/>
        <v>0</v>
      </c>
      <c r="F659" s="8">
        <f t="shared" si="70"/>
        <v>0</v>
      </c>
      <c r="G659" s="16"/>
      <c r="H659" s="8">
        <f t="shared" si="71"/>
        <v>0</v>
      </c>
    </row>
    <row r="660" spans="2:8" x14ac:dyDescent="0.2">
      <c r="B660" s="51">
        <f t="shared" si="66"/>
        <v>0</v>
      </c>
      <c r="C660" s="8">
        <f t="shared" si="67"/>
        <v>0</v>
      </c>
      <c r="D660" s="9">
        <f t="shared" si="68"/>
        <v>0</v>
      </c>
      <c r="E660" s="9">
        <f t="shared" si="69"/>
        <v>0</v>
      </c>
      <c r="F660" s="8">
        <f t="shared" si="70"/>
        <v>0</v>
      </c>
      <c r="G660" s="16"/>
      <c r="H660" s="8">
        <f t="shared" si="71"/>
        <v>0</v>
      </c>
    </row>
    <row r="661" spans="2:8" x14ac:dyDescent="0.2">
      <c r="B661" s="51">
        <f t="shared" si="66"/>
        <v>0</v>
      </c>
      <c r="C661" s="8">
        <f t="shared" si="67"/>
        <v>0</v>
      </c>
      <c r="D661" s="9">
        <f t="shared" si="68"/>
        <v>0</v>
      </c>
      <c r="E661" s="9">
        <f t="shared" si="69"/>
        <v>0</v>
      </c>
      <c r="F661" s="8">
        <f t="shared" si="70"/>
        <v>0</v>
      </c>
      <c r="G661" s="16"/>
      <c r="H661" s="8">
        <f t="shared" si="71"/>
        <v>0</v>
      </c>
    </row>
    <row r="662" spans="2:8" x14ac:dyDescent="0.2">
      <c r="B662" s="51">
        <f t="shared" si="66"/>
        <v>0</v>
      </c>
      <c r="C662" s="8">
        <f t="shared" si="67"/>
        <v>0</v>
      </c>
      <c r="D662" s="9">
        <f t="shared" si="68"/>
        <v>0</v>
      </c>
      <c r="E662" s="9">
        <f t="shared" si="69"/>
        <v>0</v>
      </c>
      <c r="F662" s="8">
        <f t="shared" si="70"/>
        <v>0</v>
      </c>
      <c r="G662" s="16"/>
      <c r="H662" s="8">
        <f t="shared" si="71"/>
        <v>0</v>
      </c>
    </row>
    <row r="663" spans="2:8" x14ac:dyDescent="0.2">
      <c r="B663" s="51">
        <f t="shared" si="66"/>
        <v>0</v>
      </c>
      <c r="C663" s="8">
        <f t="shared" si="67"/>
        <v>0</v>
      </c>
      <c r="D663" s="9">
        <f t="shared" si="68"/>
        <v>0</v>
      </c>
      <c r="E663" s="9">
        <f t="shared" si="69"/>
        <v>0</v>
      </c>
      <c r="F663" s="8">
        <f t="shared" si="70"/>
        <v>0</v>
      </c>
      <c r="G663" s="16"/>
      <c r="H663" s="8">
        <f t="shared" si="71"/>
        <v>0</v>
      </c>
    </row>
    <row r="664" spans="2:8" x14ac:dyDescent="0.2">
      <c r="B664" s="51">
        <f t="shared" si="66"/>
        <v>0</v>
      </c>
      <c r="C664" s="8">
        <f t="shared" si="67"/>
        <v>0</v>
      </c>
      <c r="D664" s="9">
        <f t="shared" si="68"/>
        <v>0</v>
      </c>
      <c r="E664" s="9">
        <f t="shared" si="69"/>
        <v>0</v>
      </c>
      <c r="F664" s="8">
        <f t="shared" si="70"/>
        <v>0</v>
      </c>
      <c r="G664" s="16"/>
      <c r="H664" s="8">
        <f t="shared" si="71"/>
        <v>0</v>
      </c>
    </row>
    <row r="665" spans="2:8" x14ac:dyDescent="0.2">
      <c r="B665" s="51">
        <f t="shared" si="66"/>
        <v>0</v>
      </c>
      <c r="C665" s="8">
        <f t="shared" si="67"/>
        <v>0</v>
      </c>
      <c r="D665" s="9">
        <f t="shared" si="68"/>
        <v>0</v>
      </c>
      <c r="E665" s="9">
        <f t="shared" si="69"/>
        <v>0</v>
      </c>
      <c r="F665" s="8">
        <f t="shared" si="70"/>
        <v>0</v>
      </c>
      <c r="G665" s="16"/>
      <c r="H665" s="8">
        <f t="shared" si="71"/>
        <v>0</v>
      </c>
    </row>
    <row r="666" spans="2:8" x14ac:dyDescent="0.2">
      <c r="B666" s="51">
        <f t="shared" si="66"/>
        <v>0</v>
      </c>
      <c r="C666" s="8">
        <f t="shared" si="67"/>
        <v>0</v>
      </c>
      <c r="D666" s="9">
        <f t="shared" si="68"/>
        <v>0</v>
      </c>
      <c r="E666" s="9">
        <f t="shared" si="69"/>
        <v>0</v>
      </c>
      <c r="F666" s="8">
        <f t="shared" si="70"/>
        <v>0</v>
      </c>
      <c r="G666" s="16"/>
      <c r="H666" s="8">
        <f t="shared" si="71"/>
        <v>0</v>
      </c>
    </row>
    <row r="667" spans="2:8" x14ac:dyDescent="0.2">
      <c r="B667" s="51">
        <f t="shared" si="66"/>
        <v>0</v>
      </c>
      <c r="C667" s="8">
        <f t="shared" si="67"/>
        <v>0</v>
      </c>
      <c r="D667" s="9">
        <f t="shared" si="68"/>
        <v>0</v>
      </c>
      <c r="E667" s="9">
        <f t="shared" si="69"/>
        <v>0</v>
      </c>
      <c r="F667" s="8">
        <f t="shared" si="70"/>
        <v>0</v>
      </c>
      <c r="G667" s="16"/>
      <c r="H667" s="8">
        <f t="shared" si="71"/>
        <v>0</v>
      </c>
    </row>
    <row r="668" spans="2:8" x14ac:dyDescent="0.2">
      <c r="B668" s="51">
        <f t="shared" si="66"/>
        <v>0</v>
      </c>
      <c r="C668" s="8">
        <f t="shared" si="67"/>
        <v>0</v>
      </c>
      <c r="D668" s="9">
        <f t="shared" si="68"/>
        <v>0</v>
      </c>
      <c r="E668" s="9">
        <f t="shared" si="69"/>
        <v>0</v>
      </c>
      <c r="F668" s="8">
        <f t="shared" si="70"/>
        <v>0</v>
      </c>
      <c r="G668" s="16"/>
      <c r="H668" s="8">
        <f t="shared" si="71"/>
        <v>0</v>
      </c>
    </row>
    <row r="669" spans="2:8" x14ac:dyDescent="0.2">
      <c r="B669" s="51">
        <f t="shared" si="66"/>
        <v>0</v>
      </c>
      <c r="C669" s="8">
        <f t="shared" si="67"/>
        <v>0</v>
      </c>
      <c r="D669" s="9">
        <f t="shared" si="68"/>
        <v>0</v>
      </c>
      <c r="E669" s="9">
        <f t="shared" si="69"/>
        <v>0</v>
      </c>
      <c r="F669" s="8">
        <f t="shared" si="70"/>
        <v>0</v>
      </c>
      <c r="G669" s="16"/>
      <c r="H669" s="8">
        <f t="shared" si="71"/>
        <v>0</v>
      </c>
    </row>
    <row r="670" spans="2:8" x14ac:dyDescent="0.2">
      <c r="B670" s="51">
        <f t="shared" si="66"/>
        <v>0</v>
      </c>
      <c r="C670" s="8">
        <f t="shared" si="67"/>
        <v>0</v>
      </c>
      <c r="D670" s="9">
        <f t="shared" si="68"/>
        <v>0</v>
      </c>
      <c r="E670" s="9">
        <f t="shared" si="69"/>
        <v>0</v>
      </c>
      <c r="F670" s="8">
        <f t="shared" si="70"/>
        <v>0</v>
      </c>
      <c r="G670" s="16"/>
      <c r="H670" s="8">
        <f t="shared" si="71"/>
        <v>0</v>
      </c>
    </row>
    <row r="671" spans="2:8" x14ac:dyDescent="0.2">
      <c r="B671" s="51">
        <f t="shared" si="66"/>
        <v>0</v>
      </c>
      <c r="C671" s="8">
        <f t="shared" si="67"/>
        <v>0</v>
      </c>
      <c r="D671" s="9">
        <f t="shared" si="68"/>
        <v>0</v>
      </c>
      <c r="E671" s="9">
        <f t="shared" si="69"/>
        <v>0</v>
      </c>
      <c r="F671" s="8">
        <f t="shared" si="70"/>
        <v>0</v>
      </c>
      <c r="G671" s="16"/>
      <c r="H671" s="8">
        <f t="shared" si="71"/>
        <v>0</v>
      </c>
    </row>
    <row r="672" spans="2:8" x14ac:dyDescent="0.2">
      <c r="B672" s="51">
        <f t="shared" si="66"/>
        <v>0</v>
      </c>
      <c r="C672" s="8">
        <f t="shared" si="67"/>
        <v>0</v>
      </c>
      <c r="D672" s="9">
        <f t="shared" si="68"/>
        <v>0</v>
      </c>
      <c r="E672" s="9">
        <f t="shared" si="69"/>
        <v>0</v>
      </c>
      <c r="F672" s="8">
        <f t="shared" si="70"/>
        <v>0</v>
      </c>
      <c r="G672" s="16"/>
      <c r="H672" s="8">
        <f t="shared" si="71"/>
        <v>0</v>
      </c>
    </row>
    <row r="673" spans="2:8" x14ac:dyDescent="0.2">
      <c r="B673" s="51">
        <f t="shared" si="66"/>
        <v>0</v>
      </c>
      <c r="C673" s="8">
        <f t="shared" si="67"/>
        <v>0</v>
      </c>
      <c r="D673" s="9">
        <f t="shared" si="68"/>
        <v>0</v>
      </c>
      <c r="E673" s="9">
        <f t="shared" si="69"/>
        <v>0</v>
      </c>
      <c r="F673" s="8">
        <f t="shared" si="70"/>
        <v>0</v>
      </c>
      <c r="G673" s="16"/>
      <c r="H673" s="8">
        <f t="shared" si="71"/>
        <v>0</v>
      </c>
    </row>
    <row r="674" spans="2:8" x14ac:dyDescent="0.2">
      <c r="B674" s="51">
        <f t="shared" si="66"/>
        <v>0</v>
      </c>
      <c r="C674" s="8">
        <f t="shared" si="67"/>
        <v>0</v>
      </c>
      <c r="D674" s="9">
        <f t="shared" si="68"/>
        <v>0</v>
      </c>
      <c r="E674" s="9">
        <f t="shared" si="69"/>
        <v>0</v>
      </c>
      <c r="F674" s="8">
        <f t="shared" si="70"/>
        <v>0</v>
      </c>
      <c r="G674" s="16"/>
      <c r="H674" s="8">
        <f t="shared" si="71"/>
        <v>0</v>
      </c>
    </row>
    <row r="675" spans="2:8" x14ac:dyDescent="0.2">
      <c r="B675" s="51">
        <f t="shared" si="66"/>
        <v>0</v>
      </c>
      <c r="C675" s="8">
        <f t="shared" si="67"/>
        <v>0</v>
      </c>
      <c r="D675" s="9">
        <f t="shared" si="68"/>
        <v>0</v>
      </c>
      <c r="E675" s="9">
        <f t="shared" si="69"/>
        <v>0</v>
      </c>
      <c r="F675" s="8">
        <f t="shared" si="70"/>
        <v>0</v>
      </c>
      <c r="G675" s="16"/>
      <c r="H675" s="8">
        <f t="shared" si="71"/>
        <v>0</v>
      </c>
    </row>
    <row r="676" spans="2:8" x14ac:dyDescent="0.2">
      <c r="B676" s="51">
        <f t="shared" si="66"/>
        <v>0</v>
      </c>
      <c r="C676" s="8">
        <f t="shared" si="67"/>
        <v>0</v>
      </c>
      <c r="D676" s="9">
        <f t="shared" si="68"/>
        <v>0</v>
      </c>
      <c r="E676" s="9">
        <f t="shared" si="69"/>
        <v>0</v>
      </c>
      <c r="F676" s="8">
        <f t="shared" si="70"/>
        <v>0</v>
      </c>
      <c r="G676" s="16"/>
      <c r="H676" s="8">
        <f t="shared" si="71"/>
        <v>0</v>
      </c>
    </row>
    <row r="677" spans="2:8" x14ac:dyDescent="0.2">
      <c r="B677" s="51">
        <f t="shared" si="66"/>
        <v>0</v>
      </c>
      <c r="C677" s="8">
        <f t="shared" si="67"/>
        <v>0</v>
      </c>
      <c r="D677" s="9">
        <f t="shared" si="68"/>
        <v>0</v>
      </c>
      <c r="E677" s="9">
        <f t="shared" si="69"/>
        <v>0</v>
      </c>
      <c r="F677" s="8">
        <f t="shared" si="70"/>
        <v>0</v>
      </c>
      <c r="G677" s="16"/>
      <c r="H677" s="8">
        <f t="shared" si="71"/>
        <v>0</v>
      </c>
    </row>
    <row r="678" spans="2:8" x14ac:dyDescent="0.2">
      <c r="B678" s="51">
        <f t="shared" si="66"/>
        <v>0</v>
      </c>
      <c r="C678" s="8">
        <f t="shared" si="67"/>
        <v>0</v>
      </c>
      <c r="D678" s="9">
        <f t="shared" si="68"/>
        <v>0</v>
      </c>
      <c r="E678" s="9">
        <f t="shared" si="69"/>
        <v>0</v>
      </c>
      <c r="F678" s="8">
        <f t="shared" si="70"/>
        <v>0</v>
      </c>
      <c r="G678" s="16"/>
      <c r="H678" s="8">
        <f t="shared" si="71"/>
        <v>0</v>
      </c>
    </row>
    <row r="679" spans="2:8" x14ac:dyDescent="0.2">
      <c r="B679" s="51">
        <f t="shared" si="66"/>
        <v>0</v>
      </c>
      <c r="C679" s="8">
        <f t="shared" si="67"/>
        <v>0</v>
      </c>
      <c r="D679" s="9">
        <f t="shared" si="68"/>
        <v>0</v>
      </c>
      <c r="E679" s="9">
        <f t="shared" si="69"/>
        <v>0</v>
      </c>
      <c r="F679" s="8">
        <f t="shared" si="70"/>
        <v>0</v>
      </c>
      <c r="G679" s="16"/>
      <c r="H679" s="8">
        <f t="shared" si="71"/>
        <v>0</v>
      </c>
    </row>
    <row r="680" spans="2:8" x14ac:dyDescent="0.2">
      <c r="B680" s="51">
        <f t="shared" si="66"/>
        <v>0</v>
      </c>
      <c r="C680" s="8">
        <f t="shared" si="67"/>
        <v>0</v>
      </c>
      <c r="D680" s="9">
        <f t="shared" si="68"/>
        <v>0</v>
      </c>
      <c r="E680" s="9">
        <f t="shared" si="69"/>
        <v>0</v>
      </c>
      <c r="F680" s="8">
        <f t="shared" si="70"/>
        <v>0</v>
      </c>
      <c r="G680" s="16"/>
      <c r="H680" s="8">
        <f t="shared" si="71"/>
        <v>0</v>
      </c>
    </row>
    <row r="681" spans="2:8" x14ac:dyDescent="0.2">
      <c r="B681" s="51">
        <f t="shared" si="66"/>
        <v>0</v>
      </c>
      <c r="C681" s="8">
        <f t="shared" si="67"/>
        <v>0</v>
      </c>
      <c r="D681" s="9">
        <f t="shared" si="68"/>
        <v>0</v>
      </c>
      <c r="E681" s="9">
        <f t="shared" si="69"/>
        <v>0</v>
      </c>
      <c r="F681" s="8">
        <f t="shared" si="70"/>
        <v>0</v>
      </c>
      <c r="G681" s="16"/>
      <c r="H681" s="8">
        <f t="shared" si="71"/>
        <v>0</v>
      </c>
    </row>
    <row r="682" spans="2:8" x14ac:dyDescent="0.2">
      <c r="B682" s="51">
        <f t="shared" si="66"/>
        <v>0</v>
      </c>
      <c r="C682" s="8">
        <f t="shared" si="67"/>
        <v>0</v>
      </c>
      <c r="D682" s="9">
        <f t="shared" si="68"/>
        <v>0</v>
      </c>
      <c r="E682" s="9">
        <f t="shared" si="69"/>
        <v>0</v>
      </c>
      <c r="F682" s="8">
        <f t="shared" si="70"/>
        <v>0</v>
      </c>
      <c r="G682" s="16"/>
      <c r="H682" s="8">
        <f t="shared" si="71"/>
        <v>0</v>
      </c>
    </row>
    <row r="683" spans="2:8" x14ac:dyDescent="0.2">
      <c r="B683" s="51">
        <f t="shared" si="66"/>
        <v>0</v>
      </c>
      <c r="C683" s="8">
        <f t="shared" si="67"/>
        <v>0</v>
      </c>
      <c r="D683" s="9">
        <f t="shared" si="68"/>
        <v>0</v>
      </c>
      <c r="E683" s="9">
        <f t="shared" si="69"/>
        <v>0</v>
      </c>
      <c r="F683" s="8">
        <f t="shared" si="70"/>
        <v>0</v>
      </c>
      <c r="G683" s="16"/>
      <c r="H683" s="8">
        <f t="shared" si="71"/>
        <v>0</v>
      </c>
    </row>
    <row r="684" spans="2:8" x14ac:dyDescent="0.2">
      <c r="B684" s="51">
        <f t="shared" si="66"/>
        <v>0</v>
      </c>
      <c r="C684" s="8">
        <f t="shared" si="67"/>
        <v>0</v>
      </c>
      <c r="D684" s="9">
        <f t="shared" si="68"/>
        <v>0</v>
      </c>
      <c r="E684" s="9">
        <f t="shared" si="69"/>
        <v>0</v>
      </c>
      <c r="F684" s="8">
        <f t="shared" si="70"/>
        <v>0</v>
      </c>
      <c r="G684" s="16"/>
      <c r="H684" s="8">
        <f t="shared" si="71"/>
        <v>0</v>
      </c>
    </row>
    <row r="685" spans="2:8" x14ac:dyDescent="0.2">
      <c r="B685" s="51">
        <f t="shared" si="66"/>
        <v>0</v>
      </c>
      <c r="C685" s="8">
        <f t="shared" si="67"/>
        <v>0</v>
      </c>
      <c r="D685" s="9">
        <f t="shared" si="68"/>
        <v>0</v>
      </c>
      <c r="E685" s="9">
        <f t="shared" si="69"/>
        <v>0</v>
      </c>
      <c r="F685" s="8">
        <f t="shared" si="70"/>
        <v>0</v>
      </c>
      <c r="G685" s="16"/>
      <c r="H685" s="8">
        <f t="shared" si="71"/>
        <v>0</v>
      </c>
    </row>
    <row r="686" spans="2:8" x14ac:dyDescent="0.2">
      <c r="B686" s="51">
        <f t="shared" si="66"/>
        <v>0</v>
      </c>
      <c r="C686" s="8">
        <f t="shared" si="67"/>
        <v>0</v>
      </c>
      <c r="D686" s="9">
        <f t="shared" si="68"/>
        <v>0</v>
      </c>
      <c r="E686" s="9">
        <f t="shared" si="69"/>
        <v>0</v>
      </c>
      <c r="F686" s="8">
        <f t="shared" si="70"/>
        <v>0</v>
      </c>
      <c r="G686" s="16"/>
      <c r="H686" s="8">
        <f t="shared" si="71"/>
        <v>0</v>
      </c>
    </row>
    <row r="687" spans="2:8" x14ac:dyDescent="0.2">
      <c r="B687" s="51">
        <f t="shared" si="66"/>
        <v>0</v>
      </c>
      <c r="C687" s="8">
        <f t="shared" si="67"/>
        <v>0</v>
      </c>
      <c r="D687" s="9">
        <f t="shared" si="68"/>
        <v>0</v>
      </c>
      <c r="E687" s="9">
        <f t="shared" si="69"/>
        <v>0</v>
      </c>
      <c r="F687" s="8">
        <f t="shared" si="70"/>
        <v>0</v>
      </c>
      <c r="G687" s="16"/>
      <c r="H687" s="8">
        <f t="shared" si="71"/>
        <v>0</v>
      </c>
    </row>
    <row r="688" spans="2:8" x14ac:dyDescent="0.2">
      <c r="B688" s="51">
        <f t="shared" si="66"/>
        <v>0</v>
      </c>
      <c r="C688" s="8">
        <f t="shared" si="67"/>
        <v>0</v>
      </c>
      <c r="D688" s="9">
        <f t="shared" si="68"/>
        <v>0</v>
      </c>
      <c r="E688" s="9">
        <f t="shared" si="69"/>
        <v>0</v>
      </c>
      <c r="F688" s="8">
        <f t="shared" si="70"/>
        <v>0</v>
      </c>
      <c r="G688" s="16"/>
      <c r="H688" s="8">
        <f t="shared" si="71"/>
        <v>0</v>
      </c>
    </row>
    <row r="689" spans="2:8" x14ac:dyDescent="0.2">
      <c r="B689" s="51">
        <f t="shared" si="66"/>
        <v>0</v>
      </c>
      <c r="C689" s="8">
        <f t="shared" si="67"/>
        <v>0</v>
      </c>
      <c r="D689" s="9">
        <f t="shared" si="68"/>
        <v>0</v>
      </c>
      <c r="E689" s="9">
        <f t="shared" si="69"/>
        <v>0</v>
      </c>
      <c r="F689" s="8">
        <f t="shared" si="70"/>
        <v>0</v>
      </c>
      <c r="G689" s="16"/>
      <c r="H689" s="8">
        <f t="shared" si="71"/>
        <v>0</v>
      </c>
    </row>
    <row r="690" spans="2:8" x14ac:dyDescent="0.2">
      <c r="B690" s="51">
        <f t="shared" si="66"/>
        <v>0</v>
      </c>
      <c r="C690" s="8">
        <f t="shared" si="67"/>
        <v>0</v>
      </c>
      <c r="D690" s="9">
        <f t="shared" si="68"/>
        <v>0</v>
      </c>
      <c r="E690" s="9">
        <f t="shared" si="69"/>
        <v>0</v>
      </c>
      <c r="F690" s="8">
        <f t="shared" si="70"/>
        <v>0</v>
      </c>
      <c r="G690" s="16"/>
      <c r="H690" s="8">
        <f t="shared" si="71"/>
        <v>0</v>
      </c>
    </row>
    <row r="691" spans="2:8" x14ac:dyDescent="0.2">
      <c r="B691" s="51">
        <f t="shared" ref="B691:B754" si="72">IF(AND(B690&gt;0,B690&lt;E$8),B690+1,0)</f>
        <v>0</v>
      </c>
      <c r="C691" s="8">
        <f t="shared" ref="C691:C754" si="73">IF(B691&gt;0,H690,0)</f>
        <v>0</v>
      </c>
      <c r="D691" s="9">
        <f t="shared" ref="D691:D754" si="74">IF(B691&gt;0,C691*$F$8,0)</f>
        <v>0</v>
      </c>
      <c r="E691" s="9">
        <f t="shared" ref="E691:E754" si="75">IF(B691&gt;0,C691+D691,0)</f>
        <v>0</v>
      </c>
      <c r="F691" s="8">
        <f t="shared" ref="F691:F754" si="76">IF(B691&gt;0,$D$8,0)</f>
        <v>0</v>
      </c>
      <c r="G691" s="16"/>
      <c r="H691" s="8">
        <f t="shared" ref="H691:H754" si="77">IF(B691&gt;0,E691+F691+G691,0)</f>
        <v>0</v>
      </c>
    </row>
    <row r="692" spans="2:8" x14ac:dyDescent="0.2">
      <c r="B692" s="51">
        <f t="shared" si="72"/>
        <v>0</v>
      </c>
      <c r="C692" s="8">
        <f t="shared" si="73"/>
        <v>0</v>
      </c>
      <c r="D692" s="9">
        <f t="shared" si="74"/>
        <v>0</v>
      </c>
      <c r="E692" s="9">
        <f t="shared" si="75"/>
        <v>0</v>
      </c>
      <c r="F692" s="8">
        <f t="shared" si="76"/>
        <v>0</v>
      </c>
      <c r="G692" s="16"/>
      <c r="H692" s="8">
        <f t="shared" si="77"/>
        <v>0</v>
      </c>
    </row>
    <row r="693" spans="2:8" x14ac:dyDescent="0.2">
      <c r="B693" s="51">
        <f t="shared" si="72"/>
        <v>0</v>
      </c>
      <c r="C693" s="8">
        <f t="shared" si="73"/>
        <v>0</v>
      </c>
      <c r="D693" s="9">
        <f t="shared" si="74"/>
        <v>0</v>
      </c>
      <c r="E693" s="9">
        <f t="shared" si="75"/>
        <v>0</v>
      </c>
      <c r="F693" s="8">
        <f t="shared" si="76"/>
        <v>0</v>
      </c>
      <c r="G693" s="16"/>
      <c r="H693" s="8">
        <f t="shared" si="77"/>
        <v>0</v>
      </c>
    </row>
    <row r="694" spans="2:8" x14ac:dyDescent="0.2">
      <c r="B694" s="51">
        <f t="shared" si="72"/>
        <v>0</v>
      </c>
      <c r="C694" s="8">
        <f t="shared" si="73"/>
        <v>0</v>
      </c>
      <c r="D694" s="9">
        <f t="shared" si="74"/>
        <v>0</v>
      </c>
      <c r="E694" s="9">
        <f t="shared" si="75"/>
        <v>0</v>
      </c>
      <c r="F694" s="8">
        <f t="shared" si="76"/>
        <v>0</v>
      </c>
      <c r="G694" s="16"/>
      <c r="H694" s="8">
        <f t="shared" si="77"/>
        <v>0</v>
      </c>
    </row>
    <row r="695" spans="2:8" x14ac:dyDescent="0.2">
      <c r="B695" s="51">
        <f t="shared" si="72"/>
        <v>0</v>
      </c>
      <c r="C695" s="8">
        <f t="shared" si="73"/>
        <v>0</v>
      </c>
      <c r="D695" s="9">
        <f t="shared" si="74"/>
        <v>0</v>
      </c>
      <c r="E695" s="9">
        <f t="shared" si="75"/>
        <v>0</v>
      </c>
      <c r="F695" s="8">
        <f t="shared" si="76"/>
        <v>0</v>
      </c>
      <c r="G695" s="16"/>
      <c r="H695" s="8">
        <f t="shared" si="77"/>
        <v>0</v>
      </c>
    </row>
    <row r="696" spans="2:8" x14ac:dyDescent="0.2">
      <c r="B696" s="51">
        <f t="shared" si="72"/>
        <v>0</v>
      </c>
      <c r="C696" s="8">
        <f t="shared" si="73"/>
        <v>0</v>
      </c>
      <c r="D696" s="9">
        <f t="shared" si="74"/>
        <v>0</v>
      </c>
      <c r="E696" s="9">
        <f t="shared" si="75"/>
        <v>0</v>
      </c>
      <c r="F696" s="8">
        <f t="shared" si="76"/>
        <v>0</v>
      </c>
      <c r="G696" s="16"/>
      <c r="H696" s="8">
        <f t="shared" si="77"/>
        <v>0</v>
      </c>
    </row>
    <row r="697" spans="2:8" x14ac:dyDescent="0.2">
      <c r="B697" s="51">
        <f t="shared" si="72"/>
        <v>0</v>
      </c>
      <c r="C697" s="8">
        <f t="shared" si="73"/>
        <v>0</v>
      </c>
      <c r="D697" s="9">
        <f t="shared" si="74"/>
        <v>0</v>
      </c>
      <c r="E697" s="9">
        <f t="shared" si="75"/>
        <v>0</v>
      </c>
      <c r="F697" s="8">
        <f t="shared" si="76"/>
        <v>0</v>
      </c>
      <c r="G697" s="16"/>
      <c r="H697" s="8">
        <f t="shared" si="77"/>
        <v>0</v>
      </c>
    </row>
    <row r="698" spans="2:8" x14ac:dyDescent="0.2">
      <c r="B698" s="51">
        <f t="shared" si="72"/>
        <v>0</v>
      </c>
      <c r="C698" s="8">
        <f t="shared" si="73"/>
        <v>0</v>
      </c>
      <c r="D698" s="9">
        <f t="shared" si="74"/>
        <v>0</v>
      </c>
      <c r="E698" s="9">
        <f t="shared" si="75"/>
        <v>0</v>
      </c>
      <c r="F698" s="8">
        <f t="shared" si="76"/>
        <v>0</v>
      </c>
      <c r="G698" s="16"/>
      <c r="H698" s="8">
        <f t="shared" si="77"/>
        <v>0</v>
      </c>
    </row>
    <row r="699" spans="2:8" x14ac:dyDescent="0.2">
      <c r="B699" s="51">
        <f t="shared" si="72"/>
        <v>0</v>
      </c>
      <c r="C699" s="8">
        <f t="shared" si="73"/>
        <v>0</v>
      </c>
      <c r="D699" s="9">
        <f t="shared" si="74"/>
        <v>0</v>
      </c>
      <c r="E699" s="9">
        <f t="shared" si="75"/>
        <v>0</v>
      </c>
      <c r="F699" s="8">
        <f t="shared" si="76"/>
        <v>0</v>
      </c>
      <c r="G699" s="16"/>
      <c r="H699" s="8">
        <f t="shared" si="77"/>
        <v>0</v>
      </c>
    </row>
    <row r="700" spans="2:8" x14ac:dyDescent="0.2">
      <c r="B700" s="51">
        <f t="shared" si="72"/>
        <v>0</v>
      </c>
      <c r="C700" s="8">
        <f t="shared" si="73"/>
        <v>0</v>
      </c>
      <c r="D700" s="9">
        <f t="shared" si="74"/>
        <v>0</v>
      </c>
      <c r="E700" s="9">
        <f t="shared" si="75"/>
        <v>0</v>
      </c>
      <c r="F700" s="8">
        <f t="shared" si="76"/>
        <v>0</v>
      </c>
      <c r="G700" s="16"/>
      <c r="H700" s="8">
        <f t="shared" si="77"/>
        <v>0</v>
      </c>
    </row>
    <row r="701" spans="2:8" x14ac:dyDescent="0.2">
      <c r="B701" s="51">
        <f t="shared" si="72"/>
        <v>0</v>
      </c>
      <c r="C701" s="8">
        <f t="shared" si="73"/>
        <v>0</v>
      </c>
      <c r="D701" s="9">
        <f t="shared" si="74"/>
        <v>0</v>
      </c>
      <c r="E701" s="9">
        <f t="shared" si="75"/>
        <v>0</v>
      </c>
      <c r="F701" s="8">
        <f t="shared" si="76"/>
        <v>0</v>
      </c>
      <c r="G701" s="16"/>
      <c r="H701" s="8">
        <f t="shared" si="77"/>
        <v>0</v>
      </c>
    </row>
    <row r="702" spans="2:8" x14ac:dyDescent="0.2">
      <c r="B702" s="51">
        <f t="shared" si="72"/>
        <v>0</v>
      </c>
      <c r="C702" s="8">
        <f t="shared" si="73"/>
        <v>0</v>
      </c>
      <c r="D702" s="9">
        <f t="shared" si="74"/>
        <v>0</v>
      </c>
      <c r="E702" s="9">
        <f t="shared" si="75"/>
        <v>0</v>
      </c>
      <c r="F702" s="8">
        <f t="shared" si="76"/>
        <v>0</v>
      </c>
      <c r="G702" s="16"/>
      <c r="H702" s="8">
        <f t="shared" si="77"/>
        <v>0</v>
      </c>
    </row>
    <row r="703" spans="2:8" x14ac:dyDescent="0.2">
      <c r="B703" s="51">
        <f t="shared" si="72"/>
        <v>0</v>
      </c>
      <c r="C703" s="8">
        <f t="shared" si="73"/>
        <v>0</v>
      </c>
      <c r="D703" s="9">
        <f t="shared" si="74"/>
        <v>0</v>
      </c>
      <c r="E703" s="9">
        <f t="shared" si="75"/>
        <v>0</v>
      </c>
      <c r="F703" s="8">
        <f t="shared" si="76"/>
        <v>0</v>
      </c>
      <c r="G703" s="16"/>
      <c r="H703" s="8">
        <f t="shared" si="77"/>
        <v>0</v>
      </c>
    </row>
    <row r="704" spans="2:8" x14ac:dyDescent="0.2">
      <c r="B704" s="51">
        <f t="shared" si="72"/>
        <v>0</v>
      </c>
      <c r="C704" s="8">
        <f t="shared" si="73"/>
        <v>0</v>
      </c>
      <c r="D704" s="9">
        <f t="shared" si="74"/>
        <v>0</v>
      </c>
      <c r="E704" s="9">
        <f t="shared" si="75"/>
        <v>0</v>
      </c>
      <c r="F704" s="8">
        <f t="shared" si="76"/>
        <v>0</v>
      </c>
      <c r="G704" s="16"/>
      <c r="H704" s="8">
        <f t="shared" si="77"/>
        <v>0</v>
      </c>
    </row>
    <row r="705" spans="2:8" x14ac:dyDescent="0.2">
      <c r="B705" s="51">
        <f t="shared" si="72"/>
        <v>0</v>
      </c>
      <c r="C705" s="8">
        <f t="shared" si="73"/>
        <v>0</v>
      </c>
      <c r="D705" s="9">
        <f t="shared" si="74"/>
        <v>0</v>
      </c>
      <c r="E705" s="9">
        <f t="shared" si="75"/>
        <v>0</v>
      </c>
      <c r="F705" s="8">
        <f t="shared" si="76"/>
        <v>0</v>
      </c>
      <c r="G705" s="16"/>
      <c r="H705" s="8">
        <f t="shared" si="77"/>
        <v>0</v>
      </c>
    </row>
    <row r="706" spans="2:8" x14ac:dyDescent="0.2">
      <c r="B706" s="51">
        <f t="shared" si="72"/>
        <v>0</v>
      </c>
      <c r="C706" s="8">
        <f t="shared" si="73"/>
        <v>0</v>
      </c>
      <c r="D706" s="9">
        <f t="shared" si="74"/>
        <v>0</v>
      </c>
      <c r="E706" s="9">
        <f t="shared" si="75"/>
        <v>0</v>
      </c>
      <c r="F706" s="8">
        <f t="shared" si="76"/>
        <v>0</v>
      </c>
      <c r="G706" s="16"/>
      <c r="H706" s="8">
        <f t="shared" si="77"/>
        <v>0</v>
      </c>
    </row>
    <row r="707" spans="2:8" x14ac:dyDescent="0.2">
      <c r="B707" s="51">
        <f t="shared" si="72"/>
        <v>0</v>
      </c>
      <c r="C707" s="8">
        <f t="shared" si="73"/>
        <v>0</v>
      </c>
      <c r="D707" s="9">
        <f t="shared" si="74"/>
        <v>0</v>
      </c>
      <c r="E707" s="9">
        <f t="shared" si="75"/>
        <v>0</v>
      </c>
      <c r="F707" s="8">
        <f t="shared" si="76"/>
        <v>0</v>
      </c>
      <c r="G707" s="16"/>
      <c r="H707" s="8">
        <f t="shared" si="77"/>
        <v>0</v>
      </c>
    </row>
    <row r="708" spans="2:8" x14ac:dyDescent="0.2">
      <c r="B708" s="51">
        <f t="shared" si="72"/>
        <v>0</v>
      </c>
      <c r="C708" s="8">
        <f t="shared" si="73"/>
        <v>0</v>
      </c>
      <c r="D708" s="9">
        <f t="shared" si="74"/>
        <v>0</v>
      </c>
      <c r="E708" s="9">
        <f t="shared" si="75"/>
        <v>0</v>
      </c>
      <c r="F708" s="8">
        <f t="shared" si="76"/>
        <v>0</v>
      </c>
      <c r="G708" s="16"/>
      <c r="H708" s="8">
        <f t="shared" si="77"/>
        <v>0</v>
      </c>
    </row>
    <row r="709" spans="2:8" x14ac:dyDescent="0.2">
      <c r="B709" s="51">
        <f t="shared" si="72"/>
        <v>0</v>
      </c>
      <c r="C709" s="8">
        <f t="shared" si="73"/>
        <v>0</v>
      </c>
      <c r="D709" s="9">
        <f t="shared" si="74"/>
        <v>0</v>
      </c>
      <c r="E709" s="9">
        <f t="shared" si="75"/>
        <v>0</v>
      </c>
      <c r="F709" s="8">
        <f t="shared" si="76"/>
        <v>0</v>
      </c>
      <c r="G709" s="16"/>
      <c r="H709" s="8">
        <f t="shared" si="77"/>
        <v>0</v>
      </c>
    </row>
    <row r="710" spans="2:8" x14ac:dyDescent="0.2">
      <c r="B710" s="51">
        <f t="shared" si="72"/>
        <v>0</v>
      </c>
      <c r="C710" s="8">
        <f t="shared" si="73"/>
        <v>0</v>
      </c>
      <c r="D710" s="9">
        <f t="shared" si="74"/>
        <v>0</v>
      </c>
      <c r="E710" s="9">
        <f t="shared" si="75"/>
        <v>0</v>
      </c>
      <c r="F710" s="8">
        <f t="shared" si="76"/>
        <v>0</v>
      </c>
      <c r="G710" s="16"/>
      <c r="H710" s="8">
        <f t="shared" si="77"/>
        <v>0</v>
      </c>
    </row>
    <row r="711" spans="2:8" x14ac:dyDescent="0.2">
      <c r="B711" s="51">
        <f t="shared" si="72"/>
        <v>0</v>
      </c>
      <c r="C711" s="8">
        <f t="shared" si="73"/>
        <v>0</v>
      </c>
      <c r="D711" s="9">
        <f t="shared" si="74"/>
        <v>0</v>
      </c>
      <c r="E711" s="9">
        <f t="shared" si="75"/>
        <v>0</v>
      </c>
      <c r="F711" s="8">
        <f t="shared" si="76"/>
        <v>0</v>
      </c>
      <c r="G711" s="16"/>
      <c r="H711" s="8">
        <f t="shared" si="77"/>
        <v>0</v>
      </c>
    </row>
    <row r="712" spans="2:8" x14ac:dyDescent="0.2">
      <c r="B712" s="51">
        <f t="shared" si="72"/>
        <v>0</v>
      </c>
      <c r="C712" s="8">
        <f t="shared" si="73"/>
        <v>0</v>
      </c>
      <c r="D712" s="9">
        <f t="shared" si="74"/>
        <v>0</v>
      </c>
      <c r="E712" s="9">
        <f t="shared" si="75"/>
        <v>0</v>
      </c>
      <c r="F712" s="8">
        <f t="shared" si="76"/>
        <v>0</v>
      </c>
      <c r="G712" s="16"/>
      <c r="H712" s="8">
        <f t="shared" si="77"/>
        <v>0</v>
      </c>
    </row>
    <row r="713" spans="2:8" x14ac:dyDescent="0.2">
      <c r="B713" s="51">
        <f t="shared" si="72"/>
        <v>0</v>
      </c>
      <c r="C713" s="8">
        <f t="shared" si="73"/>
        <v>0</v>
      </c>
      <c r="D713" s="9">
        <f t="shared" si="74"/>
        <v>0</v>
      </c>
      <c r="E713" s="9">
        <f t="shared" si="75"/>
        <v>0</v>
      </c>
      <c r="F713" s="8">
        <f t="shared" si="76"/>
        <v>0</v>
      </c>
      <c r="G713" s="16"/>
      <c r="H713" s="8">
        <f t="shared" si="77"/>
        <v>0</v>
      </c>
    </row>
    <row r="714" spans="2:8" x14ac:dyDescent="0.2">
      <c r="B714" s="51">
        <f t="shared" si="72"/>
        <v>0</v>
      </c>
      <c r="C714" s="8">
        <f t="shared" si="73"/>
        <v>0</v>
      </c>
      <c r="D714" s="9">
        <f t="shared" si="74"/>
        <v>0</v>
      </c>
      <c r="E714" s="9">
        <f t="shared" si="75"/>
        <v>0</v>
      </c>
      <c r="F714" s="8">
        <f t="shared" si="76"/>
        <v>0</v>
      </c>
      <c r="G714" s="16"/>
      <c r="H714" s="8">
        <f t="shared" si="77"/>
        <v>0</v>
      </c>
    </row>
    <row r="715" spans="2:8" x14ac:dyDescent="0.2">
      <c r="B715" s="51">
        <f t="shared" si="72"/>
        <v>0</v>
      </c>
      <c r="C715" s="8">
        <f t="shared" si="73"/>
        <v>0</v>
      </c>
      <c r="D715" s="9">
        <f t="shared" si="74"/>
        <v>0</v>
      </c>
      <c r="E715" s="9">
        <f t="shared" si="75"/>
        <v>0</v>
      </c>
      <c r="F715" s="8">
        <f t="shared" si="76"/>
        <v>0</v>
      </c>
      <c r="G715" s="16"/>
      <c r="H715" s="8">
        <f t="shared" si="77"/>
        <v>0</v>
      </c>
    </row>
    <row r="716" spans="2:8" x14ac:dyDescent="0.2">
      <c r="B716" s="51">
        <f t="shared" si="72"/>
        <v>0</v>
      </c>
      <c r="C716" s="8">
        <f t="shared" si="73"/>
        <v>0</v>
      </c>
      <c r="D716" s="9">
        <f t="shared" si="74"/>
        <v>0</v>
      </c>
      <c r="E716" s="9">
        <f t="shared" si="75"/>
        <v>0</v>
      </c>
      <c r="F716" s="8">
        <f t="shared" si="76"/>
        <v>0</v>
      </c>
      <c r="G716" s="16"/>
      <c r="H716" s="8">
        <f t="shared" si="77"/>
        <v>0</v>
      </c>
    </row>
    <row r="717" spans="2:8" x14ac:dyDescent="0.2">
      <c r="B717" s="51">
        <f t="shared" si="72"/>
        <v>0</v>
      </c>
      <c r="C717" s="8">
        <f t="shared" si="73"/>
        <v>0</v>
      </c>
      <c r="D717" s="9">
        <f t="shared" si="74"/>
        <v>0</v>
      </c>
      <c r="E717" s="9">
        <f t="shared" si="75"/>
        <v>0</v>
      </c>
      <c r="F717" s="8">
        <f t="shared" si="76"/>
        <v>0</v>
      </c>
      <c r="G717" s="16"/>
      <c r="H717" s="8">
        <f t="shared" si="77"/>
        <v>0</v>
      </c>
    </row>
    <row r="718" spans="2:8" x14ac:dyDescent="0.2">
      <c r="B718" s="51">
        <f t="shared" si="72"/>
        <v>0</v>
      </c>
      <c r="C718" s="8">
        <f t="shared" si="73"/>
        <v>0</v>
      </c>
      <c r="D718" s="9">
        <f t="shared" si="74"/>
        <v>0</v>
      </c>
      <c r="E718" s="9">
        <f t="shared" si="75"/>
        <v>0</v>
      </c>
      <c r="F718" s="8">
        <f t="shared" si="76"/>
        <v>0</v>
      </c>
      <c r="G718" s="16"/>
      <c r="H718" s="8">
        <f t="shared" si="77"/>
        <v>0</v>
      </c>
    </row>
    <row r="719" spans="2:8" x14ac:dyDescent="0.2">
      <c r="B719" s="51">
        <f t="shared" si="72"/>
        <v>0</v>
      </c>
      <c r="C719" s="8">
        <f t="shared" si="73"/>
        <v>0</v>
      </c>
      <c r="D719" s="9">
        <f t="shared" si="74"/>
        <v>0</v>
      </c>
      <c r="E719" s="9">
        <f t="shared" si="75"/>
        <v>0</v>
      </c>
      <c r="F719" s="8">
        <f t="shared" si="76"/>
        <v>0</v>
      </c>
      <c r="G719" s="16"/>
      <c r="H719" s="8">
        <f t="shared" si="77"/>
        <v>0</v>
      </c>
    </row>
    <row r="720" spans="2:8" x14ac:dyDescent="0.2">
      <c r="B720" s="51">
        <f t="shared" si="72"/>
        <v>0</v>
      </c>
      <c r="C720" s="8">
        <f t="shared" si="73"/>
        <v>0</v>
      </c>
      <c r="D720" s="9">
        <f t="shared" si="74"/>
        <v>0</v>
      </c>
      <c r="E720" s="9">
        <f t="shared" si="75"/>
        <v>0</v>
      </c>
      <c r="F720" s="8">
        <f t="shared" si="76"/>
        <v>0</v>
      </c>
      <c r="G720" s="16"/>
      <c r="H720" s="8">
        <f t="shared" si="77"/>
        <v>0</v>
      </c>
    </row>
    <row r="721" spans="2:8" x14ac:dyDescent="0.2">
      <c r="B721" s="51">
        <f t="shared" si="72"/>
        <v>0</v>
      </c>
      <c r="C721" s="8">
        <f t="shared" si="73"/>
        <v>0</v>
      </c>
      <c r="D721" s="9">
        <f t="shared" si="74"/>
        <v>0</v>
      </c>
      <c r="E721" s="9">
        <f t="shared" si="75"/>
        <v>0</v>
      </c>
      <c r="F721" s="8">
        <f t="shared" si="76"/>
        <v>0</v>
      </c>
      <c r="G721" s="16"/>
      <c r="H721" s="8">
        <f t="shared" si="77"/>
        <v>0</v>
      </c>
    </row>
    <row r="722" spans="2:8" x14ac:dyDescent="0.2">
      <c r="B722" s="51">
        <f t="shared" si="72"/>
        <v>0</v>
      </c>
      <c r="C722" s="8">
        <f t="shared" si="73"/>
        <v>0</v>
      </c>
      <c r="D722" s="9">
        <f t="shared" si="74"/>
        <v>0</v>
      </c>
      <c r="E722" s="9">
        <f t="shared" si="75"/>
        <v>0</v>
      </c>
      <c r="F722" s="8">
        <f t="shared" si="76"/>
        <v>0</v>
      </c>
      <c r="G722" s="16"/>
      <c r="H722" s="8">
        <f t="shared" si="77"/>
        <v>0</v>
      </c>
    </row>
    <row r="723" spans="2:8" x14ac:dyDescent="0.2">
      <c r="B723" s="51">
        <f t="shared" si="72"/>
        <v>0</v>
      </c>
      <c r="C723" s="8">
        <f t="shared" si="73"/>
        <v>0</v>
      </c>
      <c r="D723" s="9">
        <f t="shared" si="74"/>
        <v>0</v>
      </c>
      <c r="E723" s="9">
        <f t="shared" si="75"/>
        <v>0</v>
      </c>
      <c r="F723" s="8">
        <f t="shared" si="76"/>
        <v>0</v>
      </c>
      <c r="G723" s="16"/>
      <c r="H723" s="8">
        <f t="shared" si="77"/>
        <v>0</v>
      </c>
    </row>
    <row r="724" spans="2:8" x14ac:dyDescent="0.2">
      <c r="B724" s="51">
        <f t="shared" si="72"/>
        <v>0</v>
      </c>
      <c r="C724" s="8">
        <f t="shared" si="73"/>
        <v>0</v>
      </c>
      <c r="D724" s="9">
        <f t="shared" si="74"/>
        <v>0</v>
      </c>
      <c r="E724" s="9">
        <f t="shared" si="75"/>
        <v>0</v>
      </c>
      <c r="F724" s="8">
        <f t="shared" si="76"/>
        <v>0</v>
      </c>
      <c r="G724" s="16"/>
      <c r="H724" s="8">
        <f t="shared" si="77"/>
        <v>0</v>
      </c>
    </row>
    <row r="725" spans="2:8" x14ac:dyDescent="0.2">
      <c r="B725" s="51">
        <f t="shared" si="72"/>
        <v>0</v>
      </c>
      <c r="C725" s="8">
        <f t="shared" si="73"/>
        <v>0</v>
      </c>
      <c r="D725" s="9">
        <f t="shared" si="74"/>
        <v>0</v>
      </c>
      <c r="E725" s="9">
        <f t="shared" si="75"/>
        <v>0</v>
      </c>
      <c r="F725" s="8">
        <f t="shared" si="76"/>
        <v>0</v>
      </c>
      <c r="G725" s="16"/>
      <c r="H725" s="8">
        <f t="shared" si="77"/>
        <v>0</v>
      </c>
    </row>
    <row r="726" spans="2:8" x14ac:dyDescent="0.2">
      <c r="B726" s="51">
        <f t="shared" si="72"/>
        <v>0</v>
      </c>
      <c r="C726" s="8">
        <f t="shared" si="73"/>
        <v>0</v>
      </c>
      <c r="D726" s="9">
        <f t="shared" si="74"/>
        <v>0</v>
      </c>
      <c r="E726" s="9">
        <f t="shared" si="75"/>
        <v>0</v>
      </c>
      <c r="F726" s="8">
        <f t="shared" si="76"/>
        <v>0</v>
      </c>
      <c r="G726" s="16"/>
      <c r="H726" s="8">
        <f t="shared" si="77"/>
        <v>0</v>
      </c>
    </row>
    <row r="727" spans="2:8" x14ac:dyDescent="0.2">
      <c r="B727" s="51">
        <f t="shared" si="72"/>
        <v>0</v>
      </c>
      <c r="C727" s="8">
        <f t="shared" si="73"/>
        <v>0</v>
      </c>
      <c r="D727" s="9">
        <f t="shared" si="74"/>
        <v>0</v>
      </c>
      <c r="E727" s="9">
        <f t="shared" si="75"/>
        <v>0</v>
      </c>
      <c r="F727" s="8">
        <f t="shared" si="76"/>
        <v>0</v>
      </c>
      <c r="G727" s="16"/>
      <c r="H727" s="8">
        <f t="shared" si="77"/>
        <v>0</v>
      </c>
    </row>
    <row r="728" spans="2:8" x14ac:dyDescent="0.2">
      <c r="B728" s="51">
        <f t="shared" si="72"/>
        <v>0</v>
      </c>
      <c r="C728" s="8">
        <f t="shared" si="73"/>
        <v>0</v>
      </c>
      <c r="D728" s="9">
        <f t="shared" si="74"/>
        <v>0</v>
      </c>
      <c r="E728" s="9">
        <f t="shared" si="75"/>
        <v>0</v>
      </c>
      <c r="F728" s="8">
        <f t="shared" si="76"/>
        <v>0</v>
      </c>
      <c r="G728" s="16"/>
      <c r="H728" s="8">
        <f t="shared" si="77"/>
        <v>0</v>
      </c>
    </row>
    <row r="729" spans="2:8" x14ac:dyDescent="0.2">
      <c r="B729" s="51">
        <f t="shared" si="72"/>
        <v>0</v>
      </c>
      <c r="C729" s="8">
        <f t="shared" si="73"/>
        <v>0</v>
      </c>
      <c r="D729" s="9">
        <f t="shared" si="74"/>
        <v>0</v>
      </c>
      <c r="E729" s="9">
        <f t="shared" si="75"/>
        <v>0</v>
      </c>
      <c r="F729" s="8">
        <f t="shared" si="76"/>
        <v>0</v>
      </c>
      <c r="G729" s="16"/>
      <c r="H729" s="8">
        <f t="shared" si="77"/>
        <v>0</v>
      </c>
    </row>
    <row r="730" spans="2:8" x14ac:dyDescent="0.2">
      <c r="B730" s="51">
        <f t="shared" si="72"/>
        <v>0</v>
      </c>
      <c r="C730" s="8">
        <f t="shared" si="73"/>
        <v>0</v>
      </c>
      <c r="D730" s="9">
        <f t="shared" si="74"/>
        <v>0</v>
      </c>
      <c r="E730" s="9">
        <f t="shared" si="75"/>
        <v>0</v>
      </c>
      <c r="F730" s="8">
        <f t="shared" si="76"/>
        <v>0</v>
      </c>
      <c r="G730" s="16"/>
      <c r="H730" s="8">
        <f t="shared" si="77"/>
        <v>0</v>
      </c>
    </row>
    <row r="731" spans="2:8" x14ac:dyDescent="0.2">
      <c r="B731" s="51">
        <f t="shared" si="72"/>
        <v>0</v>
      </c>
      <c r="C731" s="8">
        <f t="shared" si="73"/>
        <v>0</v>
      </c>
      <c r="D731" s="9">
        <f t="shared" si="74"/>
        <v>0</v>
      </c>
      <c r="E731" s="9">
        <f t="shared" si="75"/>
        <v>0</v>
      </c>
      <c r="F731" s="8">
        <f t="shared" si="76"/>
        <v>0</v>
      </c>
      <c r="G731" s="16"/>
      <c r="H731" s="8">
        <f t="shared" si="77"/>
        <v>0</v>
      </c>
    </row>
    <row r="732" spans="2:8" x14ac:dyDescent="0.2">
      <c r="B732" s="51">
        <f t="shared" si="72"/>
        <v>0</v>
      </c>
      <c r="C732" s="8">
        <f t="shared" si="73"/>
        <v>0</v>
      </c>
      <c r="D732" s="9">
        <f t="shared" si="74"/>
        <v>0</v>
      </c>
      <c r="E732" s="9">
        <f t="shared" si="75"/>
        <v>0</v>
      </c>
      <c r="F732" s="8">
        <f t="shared" si="76"/>
        <v>0</v>
      </c>
      <c r="G732" s="16"/>
      <c r="H732" s="8">
        <f t="shared" si="77"/>
        <v>0</v>
      </c>
    </row>
    <row r="733" spans="2:8" x14ac:dyDescent="0.2">
      <c r="B733" s="51">
        <f t="shared" si="72"/>
        <v>0</v>
      </c>
      <c r="C733" s="8">
        <f t="shared" si="73"/>
        <v>0</v>
      </c>
      <c r="D733" s="9">
        <f t="shared" si="74"/>
        <v>0</v>
      </c>
      <c r="E733" s="9">
        <f t="shared" si="75"/>
        <v>0</v>
      </c>
      <c r="F733" s="8">
        <f t="shared" si="76"/>
        <v>0</v>
      </c>
      <c r="G733" s="16"/>
      <c r="H733" s="8">
        <f t="shared" si="77"/>
        <v>0</v>
      </c>
    </row>
    <row r="734" spans="2:8" x14ac:dyDescent="0.2">
      <c r="B734" s="51">
        <f t="shared" si="72"/>
        <v>0</v>
      </c>
      <c r="C734" s="8">
        <f t="shared" si="73"/>
        <v>0</v>
      </c>
      <c r="D734" s="9">
        <f t="shared" si="74"/>
        <v>0</v>
      </c>
      <c r="E734" s="9">
        <f t="shared" si="75"/>
        <v>0</v>
      </c>
      <c r="F734" s="8">
        <f t="shared" si="76"/>
        <v>0</v>
      </c>
      <c r="G734" s="16"/>
      <c r="H734" s="8">
        <f t="shared" si="77"/>
        <v>0</v>
      </c>
    </row>
    <row r="735" spans="2:8" x14ac:dyDescent="0.2">
      <c r="B735" s="51">
        <f t="shared" si="72"/>
        <v>0</v>
      </c>
      <c r="C735" s="8">
        <f t="shared" si="73"/>
        <v>0</v>
      </c>
      <c r="D735" s="9">
        <f t="shared" si="74"/>
        <v>0</v>
      </c>
      <c r="E735" s="9">
        <f t="shared" si="75"/>
        <v>0</v>
      </c>
      <c r="F735" s="8">
        <f t="shared" si="76"/>
        <v>0</v>
      </c>
      <c r="G735" s="16"/>
      <c r="H735" s="8">
        <f t="shared" si="77"/>
        <v>0</v>
      </c>
    </row>
    <row r="736" spans="2:8" x14ac:dyDescent="0.2">
      <c r="B736" s="51">
        <f t="shared" si="72"/>
        <v>0</v>
      </c>
      <c r="C736" s="8">
        <f t="shared" si="73"/>
        <v>0</v>
      </c>
      <c r="D736" s="9">
        <f t="shared" si="74"/>
        <v>0</v>
      </c>
      <c r="E736" s="9">
        <f t="shared" si="75"/>
        <v>0</v>
      </c>
      <c r="F736" s="8">
        <f t="shared" si="76"/>
        <v>0</v>
      </c>
      <c r="G736" s="16"/>
      <c r="H736" s="8">
        <f t="shared" si="77"/>
        <v>0</v>
      </c>
    </row>
    <row r="737" spans="2:8" x14ac:dyDescent="0.2">
      <c r="B737" s="51">
        <f t="shared" si="72"/>
        <v>0</v>
      </c>
      <c r="C737" s="8">
        <f t="shared" si="73"/>
        <v>0</v>
      </c>
      <c r="D737" s="9">
        <f t="shared" si="74"/>
        <v>0</v>
      </c>
      <c r="E737" s="9">
        <f t="shared" si="75"/>
        <v>0</v>
      </c>
      <c r="F737" s="8">
        <f t="shared" si="76"/>
        <v>0</v>
      </c>
      <c r="G737" s="16"/>
      <c r="H737" s="8">
        <f t="shared" si="77"/>
        <v>0</v>
      </c>
    </row>
    <row r="738" spans="2:8" x14ac:dyDescent="0.2">
      <c r="B738" s="51">
        <f t="shared" si="72"/>
        <v>0</v>
      </c>
      <c r="C738" s="8">
        <f t="shared" si="73"/>
        <v>0</v>
      </c>
      <c r="D738" s="9">
        <f t="shared" si="74"/>
        <v>0</v>
      </c>
      <c r="E738" s="9">
        <f t="shared" si="75"/>
        <v>0</v>
      </c>
      <c r="F738" s="8">
        <f t="shared" si="76"/>
        <v>0</v>
      </c>
      <c r="G738" s="16"/>
      <c r="H738" s="8">
        <f t="shared" si="77"/>
        <v>0</v>
      </c>
    </row>
    <row r="739" spans="2:8" x14ac:dyDescent="0.2">
      <c r="B739" s="51">
        <f t="shared" si="72"/>
        <v>0</v>
      </c>
      <c r="C739" s="8">
        <f t="shared" si="73"/>
        <v>0</v>
      </c>
      <c r="D739" s="9">
        <f t="shared" si="74"/>
        <v>0</v>
      </c>
      <c r="E739" s="9">
        <f t="shared" si="75"/>
        <v>0</v>
      </c>
      <c r="F739" s="8">
        <f t="shared" si="76"/>
        <v>0</v>
      </c>
      <c r="G739" s="16"/>
      <c r="H739" s="8">
        <f t="shared" si="77"/>
        <v>0</v>
      </c>
    </row>
    <row r="740" spans="2:8" x14ac:dyDescent="0.2">
      <c r="B740" s="51">
        <f t="shared" si="72"/>
        <v>0</v>
      </c>
      <c r="C740" s="8">
        <f t="shared" si="73"/>
        <v>0</v>
      </c>
      <c r="D740" s="9">
        <f t="shared" si="74"/>
        <v>0</v>
      </c>
      <c r="E740" s="9">
        <f t="shared" si="75"/>
        <v>0</v>
      </c>
      <c r="F740" s="8">
        <f t="shared" si="76"/>
        <v>0</v>
      </c>
      <c r="G740" s="16"/>
      <c r="H740" s="8">
        <f t="shared" si="77"/>
        <v>0</v>
      </c>
    </row>
    <row r="741" spans="2:8" x14ac:dyDescent="0.2">
      <c r="B741" s="51">
        <f t="shared" si="72"/>
        <v>0</v>
      </c>
      <c r="C741" s="8">
        <f t="shared" si="73"/>
        <v>0</v>
      </c>
      <c r="D741" s="9">
        <f t="shared" si="74"/>
        <v>0</v>
      </c>
      <c r="E741" s="9">
        <f t="shared" si="75"/>
        <v>0</v>
      </c>
      <c r="F741" s="8">
        <f t="shared" si="76"/>
        <v>0</v>
      </c>
      <c r="G741" s="16"/>
      <c r="H741" s="8">
        <f t="shared" si="77"/>
        <v>0</v>
      </c>
    </row>
    <row r="742" spans="2:8" x14ac:dyDescent="0.2">
      <c r="B742" s="51">
        <f t="shared" si="72"/>
        <v>0</v>
      </c>
      <c r="C742" s="8">
        <f t="shared" si="73"/>
        <v>0</v>
      </c>
      <c r="D742" s="9">
        <f t="shared" si="74"/>
        <v>0</v>
      </c>
      <c r="E742" s="9">
        <f t="shared" si="75"/>
        <v>0</v>
      </c>
      <c r="F742" s="8">
        <f t="shared" si="76"/>
        <v>0</v>
      </c>
      <c r="G742" s="16"/>
      <c r="H742" s="8">
        <f t="shared" si="77"/>
        <v>0</v>
      </c>
    </row>
    <row r="743" spans="2:8" x14ac:dyDescent="0.2">
      <c r="B743" s="51">
        <f t="shared" si="72"/>
        <v>0</v>
      </c>
      <c r="C743" s="8">
        <f t="shared" si="73"/>
        <v>0</v>
      </c>
      <c r="D743" s="9">
        <f t="shared" si="74"/>
        <v>0</v>
      </c>
      <c r="E743" s="9">
        <f t="shared" si="75"/>
        <v>0</v>
      </c>
      <c r="F743" s="8">
        <f t="shared" si="76"/>
        <v>0</v>
      </c>
      <c r="G743" s="16"/>
      <c r="H743" s="8">
        <f t="shared" si="77"/>
        <v>0</v>
      </c>
    </row>
    <row r="744" spans="2:8" x14ac:dyDescent="0.2">
      <c r="B744" s="51">
        <f t="shared" si="72"/>
        <v>0</v>
      </c>
      <c r="C744" s="8">
        <f t="shared" si="73"/>
        <v>0</v>
      </c>
      <c r="D744" s="9">
        <f t="shared" si="74"/>
        <v>0</v>
      </c>
      <c r="E744" s="9">
        <f t="shared" si="75"/>
        <v>0</v>
      </c>
      <c r="F744" s="8">
        <f t="shared" si="76"/>
        <v>0</v>
      </c>
      <c r="G744" s="16"/>
      <c r="H744" s="8">
        <f t="shared" si="77"/>
        <v>0</v>
      </c>
    </row>
    <row r="745" spans="2:8" x14ac:dyDescent="0.2">
      <c r="B745" s="51">
        <f t="shared" si="72"/>
        <v>0</v>
      </c>
      <c r="C745" s="8">
        <f t="shared" si="73"/>
        <v>0</v>
      </c>
      <c r="D745" s="9">
        <f t="shared" si="74"/>
        <v>0</v>
      </c>
      <c r="E745" s="9">
        <f t="shared" si="75"/>
        <v>0</v>
      </c>
      <c r="F745" s="8">
        <f t="shared" si="76"/>
        <v>0</v>
      </c>
      <c r="G745" s="16"/>
      <c r="H745" s="8">
        <f t="shared" si="77"/>
        <v>0</v>
      </c>
    </row>
    <row r="746" spans="2:8" x14ac:dyDescent="0.2">
      <c r="B746" s="51">
        <f t="shared" si="72"/>
        <v>0</v>
      </c>
      <c r="C746" s="8">
        <f t="shared" si="73"/>
        <v>0</v>
      </c>
      <c r="D746" s="9">
        <f t="shared" si="74"/>
        <v>0</v>
      </c>
      <c r="E746" s="9">
        <f t="shared" si="75"/>
        <v>0</v>
      </c>
      <c r="F746" s="8">
        <f t="shared" si="76"/>
        <v>0</v>
      </c>
      <c r="G746" s="16"/>
      <c r="H746" s="8">
        <f t="shared" si="77"/>
        <v>0</v>
      </c>
    </row>
    <row r="747" spans="2:8" x14ac:dyDescent="0.2">
      <c r="B747" s="51">
        <f t="shared" si="72"/>
        <v>0</v>
      </c>
      <c r="C747" s="8">
        <f t="shared" si="73"/>
        <v>0</v>
      </c>
      <c r="D747" s="9">
        <f t="shared" si="74"/>
        <v>0</v>
      </c>
      <c r="E747" s="9">
        <f t="shared" si="75"/>
        <v>0</v>
      </c>
      <c r="F747" s="8">
        <f t="shared" si="76"/>
        <v>0</v>
      </c>
      <c r="G747" s="16"/>
      <c r="H747" s="8">
        <f t="shared" si="77"/>
        <v>0</v>
      </c>
    </row>
    <row r="748" spans="2:8" x14ac:dyDescent="0.2">
      <c r="B748" s="51">
        <f t="shared" si="72"/>
        <v>0</v>
      </c>
      <c r="C748" s="8">
        <f t="shared" si="73"/>
        <v>0</v>
      </c>
      <c r="D748" s="9">
        <f t="shared" si="74"/>
        <v>0</v>
      </c>
      <c r="E748" s="9">
        <f t="shared" si="75"/>
        <v>0</v>
      </c>
      <c r="F748" s="8">
        <f t="shared" si="76"/>
        <v>0</v>
      </c>
      <c r="G748" s="16"/>
      <c r="H748" s="8">
        <f t="shared" si="77"/>
        <v>0</v>
      </c>
    </row>
    <row r="749" spans="2:8" x14ac:dyDescent="0.2">
      <c r="B749" s="51">
        <f t="shared" si="72"/>
        <v>0</v>
      </c>
      <c r="C749" s="8">
        <f t="shared" si="73"/>
        <v>0</v>
      </c>
      <c r="D749" s="9">
        <f t="shared" si="74"/>
        <v>0</v>
      </c>
      <c r="E749" s="9">
        <f t="shared" si="75"/>
        <v>0</v>
      </c>
      <c r="F749" s="8">
        <f t="shared" si="76"/>
        <v>0</v>
      </c>
      <c r="G749" s="16"/>
      <c r="H749" s="8">
        <f t="shared" si="77"/>
        <v>0</v>
      </c>
    </row>
    <row r="750" spans="2:8" x14ac:dyDescent="0.2">
      <c r="B750" s="51">
        <f t="shared" si="72"/>
        <v>0</v>
      </c>
      <c r="C750" s="8">
        <f t="shared" si="73"/>
        <v>0</v>
      </c>
      <c r="D750" s="9">
        <f t="shared" si="74"/>
        <v>0</v>
      </c>
      <c r="E750" s="9">
        <f t="shared" si="75"/>
        <v>0</v>
      </c>
      <c r="F750" s="8">
        <f t="shared" si="76"/>
        <v>0</v>
      </c>
      <c r="G750" s="16"/>
      <c r="H750" s="8">
        <f t="shared" si="77"/>
        <v>0</v>
      </c>
    </row>
    <row r="751" spans="2:8" x14ac:dyDescent="0.2">
      <c r="B751" s="51">
        <f t="shared" si="72"/>
        <v>0</v>
      </c>
      <c r="C751" s="8">
        <f t="shared" si="73"/>
        <v>0</v>
      </c>
      <c r="D751" s="9">
        <f t="shared" si="74"/>
        <v>0</v>
      </c>
      <c r="E751" s="9">
        <f t="shared" si="75"/>
        <v>0</v>
      </c>
      <c r="F751" s="8">
        <f t="shared" si="76"/>
        <v>0</v>
      </c>
      <c r="G751" s="16"/>
      <c r="H751" s="8">
        <f t="shared" si="77"/>
        <v>0</v>
      </c>
    </row>
    <row r="752" spans="2:8" x14ac:dyDescent="0.2">
      <c r="B752" s="51">
        <f t="shared" si="72"/>
        <v>0</v>
      </c>
      <c r="C752" s="8">
        <f t="shared" si="73"/>
        <v>0</v>
      </c>
      <c r="D752" s="9">
        <f t="shared" si="74"/>
        <v>0</v>
      </c>
      <c r="E752" s="9">
        <f t="shared" si="75"/>
        <v>0</v>
      </c>
      <c r="F752" s="8">
        <f t="shared" si="76"/>
        <v>0</v>
      </c>
      <c r="G752" s="16"/>
      <c r="H752" s="8">
        <f t="shared" si="77"/>
        <v>0</v>
      </c>
    </row>
    <row r="753" spans="2:8" x14ac:dyDescent="0.2">
      <c r="B753" s="51">
        <f t="shared" si="72"/>
        <v>0</v>
      </c>
      <c r="C753" s="8">
        <f t="shared" si="73"/>
        <v>0</v>
      </c>
      <c r="D753" s="9">
        <f t="shared" si="74"/>
        <v>0</v>
      </c>
      <c r="E753" s="9">
        <f t="shared" si="75"/>
        <v>0</v>
      </c>
      <c r="F753" s="8">
        <f t="shared" si="76"/>
        <v>0</v>
      </c>
      <c r="G753" s="16"/>
      <c r="H753" s="8">
        <f t="shared" si="77"/>
        <v>0</v>
      </c>
    </row>
    <row r="754" spans="2:8" x14ac:dyDescent="0.2">
      <c r="B754" s="51">
        <f t="shared" si="72"/>
        <v>0</v>
      </c>
      <c r="C754" s="8">
        <f t="shared" si="73"/>
        <v>0</v>
      </c>
      <c r="D754" s="9">
        <f t="shared" si="74"/>
        <v>0</v>
      </c>
      <c r="E754" s="9">
        <f t="shared" si="75"/>
        <v>0</v>
      </c>
      <c r="F754" s="8">
        <f t="shared" si="76"/>
        <v>0</v>
      </c>
      <c r="G754" s="16"/>
      <c r="H754" s="8">
        <f t="shared" si="77"/>
        <v>0</v>
      </c>
    </row>
    <row r="755" spans="2:8" x14ac:dyDescent="0.2">
      <c r="B755" s="51">
        <f t="shared" ref="B755:B818" si="78">IF(AND(B754&gt;0,B754&lt;E$8),B754+1,0)</f>
        <v>0</v>
      </c>
      <c r="C755" s="8">
        <f t="shared" ref="C755:C818" si="79">IF(B755&gt;0,H754,0)</f>
        <v>0</v>
      </c>
      <c r="D755" s="9">
        <f t="shared" ref="D755:D818" si="80">IF(B755&gt;0,C755*$F$8,0)</f>
        <v>0</v>
      </c>
      <c r="E755" s="9">
        <f t="shared" ref="E755:E818" si="81">IF(B755&gt;0,C755+D755,0)</f>
        <v>0</v>
      </c>
      <c r="F755" s="8">
        <f t="shared" ref="F755:F818" si="82">IF(B755&gt;0,$D$8,0)</f>
        <v>0</v>
      </c>
      <c r="G755" s="16"/>
      <c r="H755" s="8">
        <f t="shared" ref="H755:H818" si="83">IF(B755&gt;0,E755+F755+G755,0)</f>
        <v>0</v>
      </c>
    </row>
    <row r="756" spans="2:8" x14ac:dyDescent="0.2">
      <c r="B756" s="51">
        <f t="shared" si="78"/>
        <v>0</v>
      </c>
      <c r="C756" s="8">
        <f t="shared" si="79"/>
        <v>0</v>
      </c>
      <c r="D756" s="9">
        <f t="shared" si="80"/>
        <v>0</v>
      </c>
      <c r="E756" s="9">
        <f t="shared" si="81"/>
        <v>0</v>
      </c>
      <c r="F756" s="8">
        <f t="shared" si="82"/>
        <v>0</v>
      </c>
      <c r="G756" s="16"/>
      <c r="H756" s="8">
        <f t="shared" si="83"/>
        <v>0</v>
      </c>
    </row>
    <row r="757" spans="2:8" x14ac:dyDescent="0.2">
      <c r="B757" s="51">
        <f t="shared" si="78"/>
        <v>0</v>
      </c>
      <c r="C757" s="8">
        <f t="shared" si="79"/>
        <v>0</v>
      </c>
      <c r="D757" s="9">
        <f t="shared" si="80"/>
        <v>0</v>
      </c>
      <c r="E757" s="9">
        <f t="shared" si="81"/>
        <v>0</v>
      </c>
      <c r="F757" s="8">
        <f t="shared" si="82"/>
        <v>0</v>
      </c>
      <c r="G757" s="16"/>
      <c r="H757" s="8">
        <f t="shared" si="83"/>
        <v>0</v>
      </c>
    </row>
    <row r="758" spans="2:8" x14ac:dyDescent="0.2">
      <c r="B758" s="51">
        <f t="shared" si="78"/>
        <v>0</v>
      </c>
      <c r="C758" s="8">
        <f t="shared" si="79"/>
        <v>0</v>
      </c>
      <c r="D758" s="9">
        <f t="shared" si="80"/>
        <v>0</v>
      </c>
      <c r="E758" s="9">
        <f t="shared" si="81"/>
        <v>0</v>
      </c>
      <c r="F758" s="8">
        <f t="shared" si="82"/>
        <v>0</v>
      </c>
      <c r="G758" s="16"/>
      <c r="H758" s="8">
        <f t="shared" si="83"/>
        <v>0</v>
      </c>
    </row>
    <row r="759" spans="2:8" x14ac:dyDescent="0.2">
      <c r="B759" s="51">
        <f t="shared" si="78"/>
        <v>0</v>
      </c>
      <c r="C759" s="8">
        <f t="shared" si="79"/>
        <v>0</v>
      </c>
      <c r="D759" s="9">
        <f t="shared" si="80"/>
        <v>0</v>
      </c>
      <c r="E759" s="9">
        <f t="shared" si="81"/>
        <v>0</v>
      </c>
      <c r="F759" s="8">
        <f t="shared" si="82"/>
        <v>0</v>
      </c>
      <c r="G759" s="16"/>
      <c r="H759" s="8">
        <f t="shared" si="83"/>
        <v>0</v>
      </c>
    </row>
    <row r="760" spans="2:8" x14ac:dyDescent="0.2">
      <c r="B760" s="51">
        <f t="shared" si="78"/>
        <v>0</v>
      </c>
      <c r="C760" s="8">
        <f t="shared" si="79"/>
        <v>0</v>
      </c>
      <c r="D760" s="9">
        <f t="shared" si="80"/>
        <v>0</v>
      </c>
      <c r="E760" s="9">
        <f t="shared" si="81"/>
        <v>0</v>
      </c>
      <c r="F760" s="8">
        <f t="shared" si="82"/>
        <v>0</v>
      </c>
      <c r="G760" s="16"/>
      <c r="H760" s="8">
        <f t="shared" si="83"/>
        <v>0</v>
      </c>
    </row>
    <row r="761" spans="2:8" x14ac:dyDescent="0.2">
      <c r="B761" s="51">
        <f t="shared" si="78"/>
        <v>0</v>
      </c>
      <c r="C761" s="8">
        <f t="shared" si="79"/>
        <v>0</v>
      </c>
      <c r="D761" s="9">
        <f t="shared" si="80"/>
        <v>0</v>
      </c>
      <c r="E761" s="9">
        <f t="shared" si="81"/>
        <v>0</v>
      </c>
      <c r="F761" s="8">
        <f t="shared" si="82"/>
        <v>0</v>
      </c>
      <c r="G761" s="16"/>
      <c r="H761" s="8">
        <f t="shared" si="83"/>
        <v>0</v>
      </c>
    </row>
    <row r="762" spans="2:8" x14ac:dyDescent="0.2">
      <c r="B762" s="51">
        <f t="shared" si="78"/>
        <v>0</v>
      </c>
      <c r="C762" s="8">
        <f t="shared" si="79"/>
        <v>0</v>
      </c>
      <c r="D762" s="9">
        <f t="shared" si="80"/>
        <v>0</v>
      </c>
      <c r="E762" s="9">
        <f t="shared" si="81"/>
        <v>0</v>
      </c>
      <c r="F762" s="8">
        <f t="shared" si="82"/>
        <v>0</v>
      </c>
      <c r="G762" s="16"/>
      <c r="H762" s="8">
        <f t="shared" si="83"/>
        <v>0</v>
      </c>
    </row>
    <row r="763" spans="2:8" x14ac:dyDescent="0.2">
      <c r="B763" s="51">
        <f t="shared" si="78"/>
        <v>0</v>
      </c>
      <c r="C763" s="8">
        <f t="shared" si="79"/>
        <v>0</v>
      </c>
      <c r="D763" s="9">
        <f t="shared" si="80"/>
        <v>0</v>
      </c>
      <c r="E763" s="9">
        <f t="shared" si="81"/>
        <v>0</v>
      </c>
      <c r="F763" s="8">
        <f t="shared" si="82"/>
        <v>0</v>
      </c>
      <c r="G763" s="16"/>
      <c r="H763" s="8">
        <f t="shared" si="83"/>
        <v>0</v>
      </c>
    </row>
    <row r="764" spans="2:8" x14ac:dyDescent="0.2">
      <c r="B764" s="51">
        <f t="shared" si="78"/>
        <v>0</v>
      </c>
      <c r="C764" s="8">
        <f t="shared" si="79"/>
        <v>0</v>
      </c>
      <c r="D764" s="9">
        <f t="shared" si="80"/>
        <v>0</v>
      </c>
      <c r="E764" s="9">
        <f t="shared" si="81"/>
        <v>0</v>
      </c>
      <c r="F764" s="8">
        <f t="shared" si="82"/>
        <v>0</v>
      </c>
      <c r="G764" s="16"/>
      <c r="H764" s="8">
        <f t="shared" si="83"/>
        <v>0</v>
      </c>
    </row>
    <row r="765" spans="2:8" x14ac:dyDescent="0.2">
      <c r="B765" s="51">
        <f t="shared" si="78"/>
        <v>0</v>
      </c>
      <c r="C765" s="8">
        <f t="shared" si="79"/>
        <v>0</v>
      </c>
      <c r="D765" s="9">
        <f t="shared" si="80"/>
        <v>0</v>
      </c>
      <c r="E765" s="9">
        <f t="shared" si="81"/>
        <v>0</v>
      </c>
      <c r="F765" s="8">
        <f t="shared" si="82"/>
        <v>0</v>
      </c>
      <c r="G765" s="16"/>
      <c r="H765" s="8">
        <f t="shared" si="83"/>
        <v>0</v>
      </c>
    </row>
    <row r="766" spans="2:8" x14ac:dyDescent="0.2">
      <c r="B766" s="51">
        <f t="shared" si="78"/>
        <v>0</v>
      </c>
      <c r="C766" s="8">
        <f t="shared" si="79"/>
        <v>0</v>
      </c>
      <c r="D766" s="9">
        <f t="shared" si="80"/>
        <v>0</v>
      </c>
      <c r="E766" s="9">
        <f t="shared" si="81"/>
        <v>0</v>
      </c>
      <c r="F766" s="8">
        <f t="shared" si="82"/>
        <v>0</v>
      </c>
      <c r="G766" s="16"/>
      <c r="H766" s="8">
        <f t="shared" si="83"/>
        <v>0</v>
      </c>
    </row>
    <row r="767" spans="2:8" x14ac:dyDescent="0.2">
      <c r="B767" s="51">
        <f t="shared" si="78"/>
        <v>0</v>
      </c>
      <c r="C767" s="8">
        <f t="shared" si="79"/>
        <v>0</v>
      </c>
      <c r="D767" s="9">
        <f t="shared" si="80"/>
        <v>0</v>
      </c>
      <c r="E767" s="9">
        <f t="shared" si="81"/>
        <v>0</v>
      </c>
      <c r="F767" s="8">
        <f t="shared" si="82"/>
        <v>0</v>
      </c>
      <c r="G767" s="16"/>
      <c r="H767" s="8">
        <f t="shared" si="83"/>
        <v>0</v>
      </c>
    </row>
    <row r="768" spans="2:8" x14ac:dyDescent="0.2">
      <c r="B768" s="51">
        <f t="shared" si="78"/>
        <v>0</v>
      </c>
      <c r="C768" s="8">
        <f t="shared" si="79"/>
        <v>0</v>
      </c>
      <c r="D768" s="9">
        <f t="shared" si="80"/>
        <v>0</v>
      </c>
      <c r="E768" s="9">
        <f t="shared" si="81"/>
        <v>0</v>
      </c>
      <c r="F768" s="8">
        <f t="shared" si="82"/>
        <v>0</v>
      </c>
      <c r="G768" s="16"/>
      <c r="H768" s="8">
        <f t="shared" si="83"/>
        <v>0</v>
      </c>
    </row>
    <row r="769" spans="2:8" x14ac:dyDescent="0.2">
      <c r="B769" s="51">
        <f t="shared" si="78"/>
        <v>0</v>
      </c>
      <c r="C769" s="8">
        <f t="shared" si="79"/>
        <v>0</v>
      </c>
      <c r="D769" s="9">
        <f t="shared" si="80"/>
        <v>0</v>
      </c>
      <c r="E769" s="9">
        <f t="shared" si="81"/>
        <v>0</v>
      </c>
      <c r="F769" s="8">
        <f t="shared" si="82"/>
        <v>0</v>
      </c>
      <c r="G769" s="16"/>
      <c r="H769" s="8">
        <f t="shared" si="83"/>
        <v>0</v>
      </c>
    </row>
    <row r="770" spans="2:8" x14ac:dyDescent="0.2">
      <c r="B770" s="51">
        <f t="shared" si="78"/>
        <v>0</v>
      </c>
      <c r="C770" s="8">
        <f t="shared" si="79"/>
        <v>0</v>
      </c>
      <c r="D770" s="9">
        <f t="shared" si="80"/>
        <v>0</v>
      </c>
      <c r="E770" s="9">
        <f t="shared" si="81"/>
        <v>0</v>
      </c>
      <c r="F770" s="8">
        <f t="shared" si="82"/>
        <v>0</v>
      </c>
      <c r="G770" s="16"/>
      <c r="H770" s="8">
        <f t="shared" si="83"/>
        <v>0</v>
      </c>
    </row>
    <row r="771" spans="2:8" x14ac:dyDescent="0.2">
      <c r="B771" s="51">
        <f t="shared" si="78"/>
        <v>0</v>
      </c>
      <c r="C771" s="8">
        <f t="shared" si="79"/>
        <v>0</v>
      </c>
      <c r="D771" s="9">
        <f t="shared" si="80"/>
        <v>0</v>
      </c>
      <c r="E771" s="9">
        <f t="shared" si="81"/>
        <v>0</v>
      </c>
      <c r="F771" s="8">
        <f t="shared" si="82"/>
        <v>0</v>
      </c>
      <c r="G771" s="16"/>
      <c r="H771" s="8">
        <f t="shared" si="83"/>
        <v>0</v>
      </c>
    </row>
    <row r="772" spans="2:8" x14ac:dyDescent="0.2">
      <c r="B772" s="51">
        <f t="shared" si="78"/>
        <v>0</v>
      </c>
      <c r="C772" s="8">
        <f t="shared" si="79"/>
        <v>0</v>
      </c>
      <c r="D772" s="9">
        <f t="shared" si="80"/>
        <v>0</v>
      </c>
      <c r="E772" s="9">
        <f t="shared" si="81"/>
        <v>0</v>
      </c>
      <c r="F772" s="8">
        <f t="shared" si="82"/>
        <v>0</v>
      </c>
      <c r="G772" s="16"/>
      <c r="H772" s="8">
        <f t="shared" si="83"/>
        <v>0</v>
      </c>
    </row>
    <row r="773" spans="2:8" x14ac:dyDescent="0.2">
      <c r="B773" s="51">
        <f t="shared" si="78"/>
        <v>0</v>
      </c>
      <c r="C773" s="8">
        <f t="shared" si="79"/>
        <v>0</v>
      </c>
      <c r="D773" s="9">
        <f t="shared" si="80"/>
        <v>0</v>
      </c>
      <c r="E773" s="9">
        <f t="shared" si="81"/>
        <v>0</v>
      </c>
      <c r="F773" s="8">
        <f t="shared" si="82"/>
        <v>0</v>
      </c>
      <c r="G773" s="16"/>
      <c r="H773" s="8">
        <f t="shared" si="83"/>
        <v>0</v>
      </c>
    </row>
    <row r="774" spans="2:8" x14ac:dyDescent="0.2">
      <c r="B774" s="51">
        <f t="shared" si="78"/>
        <v>0</v>
      </c>
      <c r="C774" s="8">
        <f t="shared" si="79"/>
        <v>0</v>
      </c>
      <c r="D774" s="9">
        <f t="shared" si="80"/>
        <v>0</v>
      </c>
      <c r="E774" s="9">
        <f t="shared" si="81"/>
        <v>0</v>
      </c>
      <c r="F774" s="8">
        <f t="shared" si="82"/>
        <v>0</v>
      </c>
      <c r="G774" s="16"/>
      <c r="H774" s="8">
        <f t="shared" si="83"/>
        <v>0</v>
      </c>
    </row>
    <row r="775" spans="2:8" x14ac:dyDescent="0.2">
      <c r="B775" s="51">
        <f t="shared" si="78"/>
        <v>0</v>
      </c>
      <c r="C775" s="8">
        <f t="shared" si="79"/>
        <v>0</v>
      </c>
      <c r="D775" s="9">
        <f t="shared" si="80"/>
        <v>0</v>
      </c>
      <c r="E775" s="9">
        <f t="shared" si="81"/>
        <v>0</v>
      </c>
      <c r="F775" s="8">
        <f t="shared" si="82"/>
        <v>0</v>
      </c>
      <c r="G775" s="16"/>
      <c r="H775" s="8">
        <f t="shared" si="83"/>
        <v>0</v>
      </c>
    </row>
    <row r="776" spans="2:8" x14ac:dyDescent="0.2">
      <c r="B776" s="51">
        <f t="shared" si="78"/>
        <v>0</v>
      </c>
      <c r="C776" s="8">
        <f t="shared" si="79"/>
        <v>0</v>
      </c>
      <c r="D776" s="9">
        <f t="shared" si="80"/>
        <v>0</v>
      </c>
      <c r="E776" s="9">
        <f t="shared" si="81"/>
        <v>0</v>
      </c>
      <c r="F776" s="8">
        <f t="shared" si="82"/>
        <v>0</v>
      </c>
      <c r="G776" s="16"/>
      <c r="H776" s="8">
        <f t="shared" si="83"/>
        <v>0</v>
      </c>
    </row>
    <row r="777" spans="2:8" x14ac:dyDescent="0.2">
      <c r="B777" s="51">
        <f t="shared" si="78"/>
        <v>0</v>
      </c>
      <c r="C777" s="8">
        <f t="shared" si="79"/>
        <v>0</v>
      </c>
      <c r="D777" s="9">
        <f t="shared" si="80"/>
        <v>0</v>
      </c>
      <c r="E777" s="9">
        <f t="shared" si="81"/>
        <v>0</v>
      </c>
      <c r="F777" s="8">
        <f t="shared" si="82"/>
        <v>0</v>
      </c>
      <c r="G777" s="16"/>
      <c r="H777" s="8">
        <f t="shared" si="83"/>
        <v>0</v>
      </c>
    </row>
    <row r="778" spans="2:8" x14ac:dyDescent="0.2">
      <c r="B778" s="51">
        <f t="shared" si="78"/>
        <v>0</v>
      </c>
      <c r="C778" s="8">
        <f t="shared" si="79"/>
        <v>0</v>
      </c>
      <c r="D778" s="9">
        <f t="shared" si="80"/>
        <v>0</v>
      </c>
      <c r="E778" s="9">
        <f t="shared" si="81"/>
        <v>0</v>
      </c>
      <c r="F778" s="8">
        <f t="shared" si="82"/>
        <v>0</v>
      </c>
      <c r="G778" s="16"/>
      <c r="H778" s="8">
        <f t="shared" si="83"/>
        <v>0</v>
      </c>
    </row>
    <row r="779" spans="2:8" x14ac:dyDescent="0.2">
      <c r="B779" s="51">
        <f t="shared" si="78"/>
        <v>0</v>
      </c>
      <c r="C779" s="8">
        <f t="shared" si="79"/>
        <v>0</v>
      </c>
      <c r="D779" s="9">
        <f t="shared" si="80"/>
        <v>0</v>
      </c>
      <c r="E779" s="9">
        <f t="shared" si="81"/>
        <v>0</v>
      </c>
      <c r="F779" s="8">
        <f t="shared" si="82"/>
        <v>0</v>
      </c>
      <c r="G779" s="16"/>
      <c r="H779" s="8">
        <f t="shared" si="83"/>
        <v>0</v>
      </c>
    </row>
    <row r="780" spans="2:8" x14ac:dyDescent="0.2">
      <c r="B780" s="51">
        <f t="shared" si="78"/>
        <v>0</v>
      </c>
      <c r="C780" s="8">
        <f t="shared" si="79"/>
        <v>0</v>
      </c>
      <c r="D780" s="9">
        <f t="shared" si="80"/>
        <v>0</v>
      </c>
      <c r="E780" s="9">
        <f t="shared" si="81"/>
        <v>0</v>
      </c>
      <c r="F780" s="8">
        <f t="shared" si="82"/>
        <v>0</v>
      </c>
      <c r="G780" s="16"/>
      <c r="H780" s="8">
        <f t="shared" si="83"/>
        <v>0</v>
      </c>
    </row>
    <row r="781" spans="2:8" x14ac:dyDescent="0.2">
      <c r="B781" s="51">
        <f t="shared" si="78"/>
        <v>0</v>
      </c>
      <c r="C781" s="8">
        <f t="shared" si="79"/>
        <v>0</v>
      </c>
      <c r="D781" s="9">
        <f t="shared" si="80"/>
        <v>0</v>
      </c>
      <c r="E781" s="9">
        <f t="shared" si="81"/>
        <v>0</v>
      </c>
      <c r="F781" s="8">
        <f t="shared" si="82"/>
        <v>0</v>
      </c>
      <c r="G781" s="16"/>
      <c r="H781" s="8">
        <f t="shared" si="83"/>
        <v>0</v>
      </c>
    </row>
    <row r="782" spans="2:8" x14ac:dyDescent="0.2">
      <c r="B782" s="51">
        <f t="shared" si="78"/>
        <v>0</v>
      </c>
      <c r="C782" s="8">
        <f t="shared" si="79"/>
        <v>0</v>
      </c>
      <c r="D782" s="9">
        <f t="shared" si="80"/>
        <v>0</v>
      </c>
      <c r="E782" s="9">
        <f t="shared" si="81"/>
        <v>0</v>
      </c>
      <c r="F782" s="8">
        <f t="shared" si="82"/>
        <v>0</v>
      </c>
      <c r="G782" s="16"/>
      <c r="H782" s="8">
        <f t="shared" si="83"/>
        <v>0</v>
      </c>
    </row>
    <row r="783" spans="2:8" x14ac:dyDescent="0.2">
      <c r="B783" s="51">
        <f t="shared" si="78"/>
        <v>0</v>
      </c>
      <c r="C783" s="8">
        <f t="shared" si="79"/>
        <v>0</v>
      </c>
      <c r="D783" s="9">
        <f t="shared" si="80"/>
        <v>0</v>
      </c>
      <c r="E783" s="9">
        <f t="shared" si="81"/>
        <v>0</v>
      </c>
      <c r="F783" s="8">
        <f t="shared" si="82"/>
        <v>0</v>
      </c>
      <c r="G783" s="16"/>
      <c r="H783" s="8">
        <f t="shared" si="83"/>
        <v>0</v>
      </c>
    </row>
    <row r="784" spans="2:8" x14ac:dyDescent="0.2">
      <c r="B784" s="51">
        <f t="shared" si="78"/>
        <v>0</v>
      </c>
      <c r="C784" s="8">
        <f t="shared" si="79"/>
        <v>0</v>
      </c>
      <c r="D784" s="9">
        <f t="shared" si="80"/>
        <v>0</v>
      </c>
      <c r="E784" s="9">
        <f t="shared" si="81"/>
        <v>0</v>
      </c>
      <c r="F784" s="8">
        <f t="shared" si="82"/>
        <v>0</v>
      </c>
      <c r="G784" s="16"/>
      <c r="H784" s="8">
        <f t="shared" si="83"/>
        <v>0</v>
      </c>
    </row>
    <row r="785" spans="2:8" x14ac:dyDescent="0.2">
      <c r="B785" s="51">
        <f t="shared" si="78"/>
        <v>0</v>
      </c>
      <c r="C785" s="8">
        <f t="shared" si="79"/>
        <v>0</v>
      </c>
      <c r="D785" s="9">
        <f t="shared" si="80"/>
        <v>0</v>
      </c>
      <c r="E785" s="9">
        <f t="shared" si="81"/>
        <v>0</v>
      </c>
      <c r="F785" s="8">
        <f t="shared" si="82"/>
        <v>0</v>
      </c>
      <c r="G785" s="16"/>
      <c r="H785" s="8">
        <f t="shared" si="83"/>
        <v>0</v>
      </c>
    </row>
    <row r="786" spans="2:8" x14ac:dyDescent="0.2">
      <c r="B786" s="51">
        <f t="shared" si="78"/>
        <v>0</v>
      </c>
      <c r="C786" s="8">
        <f t="shared" si="79"/>
        <v>0</v>
      </c>
      <c r="D786" s="9">
        <f t="shared" si="80"/>
        <v>0</v>
      </c>
      <c r="E786" s="9">
        <f t="shared" si="81"/>
        <v>0</v>
      </c>
      <c r="F786" s="8">
        <f t="shared" si="82"/>
        <v>0</v>
      </c>
      <c r="G786" s="16"/>
      <c r="H786" s="8">
        <f t="shared" si="83"/>
        <v>0</v>
      </c>
    </row>
    <row r="787" spans="2:8" x14ac:dyDescent="0.2">
      <c r="B787" s="51">
        <f t="shared" si="78"/>
        <v>0</v>
      </c>
      <c r="C787" s="8">
        <f t="shared" si="79"/>
        <v>0</v>
      </c>
      <c r="D787" s="9">
        <f t="shared" si="80"/>
        <v>0</v>
      </c>
      <c r="E787" s="9">
        <f t="shared" si="81"/>
        <v>0</v>
      </c>
      <c r="F787" s="8">
        <f t="shared" si="82"/>
        <v>0</v>
      </c>
      <c r="G787" s="16"/>
      <c r="H787" s="8">
        <f t="shared" si="83"/>
        <v>0</v>
      </c>
    </row>
    <row r="788" spans="2:8" x14ac:dyDescent="0.2">
      <c r="B788" s="51">
        <f t="shared" si="78"/>
        <v>0</v>
      </c>
      <c r="C788" s="8">
        <f t="shared" si="79"/>
        <v>0</v>
      </c>
      <c r="D788" s="9">
        <f t="shared" si="80"/>
        <v>0</v>
      </c>
      <c r="E788" s="9">
        <f t="shared" si="81"/>
        <v>0</v>
      </c>
      <c r="F788" s="8">
        <f t="shared" si="82"/>
        <v>0</v>
      </c>
      <c r="G788" s="16"/>
      <c r="H788" s="8">
        <f t="shared" si="83"/>
        <v>0</v>
      </c>
    </row>
    <row r="789" spans="2:8" x14ac:dyDescent="0.2">
      <c r="B789" s="51">
        <f t="shared" si="78"/>
        <v>0</v>
      </c>
      <c r="C789" s="8">
        <f t="shared" si="79"/>
        <v>0</v>
      </c>
      <c r="D789" s="9">
        <f t="shared" si="80"/>
        <v>0</v>
      </c>
      <c r="E789" s="9">
        <f t="shared" si="81"/>
        <v>0</v>
      </c>
      <c r="F789" s="8">
        <f t="shared" si="82"/>
        <v>0</v>
      </c>
      <c r="G789" s="16"/>
      <c r="H789" s="8">
        <f t="shared" si="83"/>
        <v>0</v>
      </c>
    </row>
    <row r="790" spans="2:8" x14ac:dyDescent="0.2">
      <c r="B790" s="51">
        <f t="shared" si="78"/>
        <v>0</v>
      </c>
      <c r="C790" s="8">
        <f t="shared" si="79"/>
        <v>0</v>
      </c>
      <c r="D790" s="9">
        <f t="shared" si="80"/>
        <v>0</v>
      </c>
      <c r="E790" s="9">
        <f t="shared" si="81"/>
        <v>0</v>
      </c>
      <c r="F790" s="8">
        <f t="shared" si="82"/>
        <v>0</v>
      </c>
      <c r="G790" s="16"/>
      <c r="H790" s="8">
        <f t="shared" si="83"/>
        <v>0</v>
      </c>
    </row>
    <row r="791" spans="2:8" x14ac:dyDescent="0.2">
      <c r="B791" s="51">
        <f t="shared" si="78"/>
        <v>0</v>
      </c>
      <c r="C791" s="8">
        <f t="shared" si="79"/>
        <v>0</v>
      </c>
      <c r="D791" s="9">
        <f t="shared" si="80"/>
        <v>0</v>
      </c>
      <c r="E791" s="9">
        <f t="shared" si="81"/>
        <v>0</v>
      </c>
      <c r="F791" s="8">
        <f t="shared" si="82"/>
        <v>0</v>
      </c>
      <c r="G791" s="16"/>
      <c r="H791" s="8">
        <f t="shared" si="83"/>
        <v>0</v>
      </c>
    </row>
    <row r="792" spans="2:8" x14ac:dyDescent="0.2">
      <c r="B792" s="51">
        <f t="shared" si="78"/>
        <v>0</v>
      </c>
      <c r="C792" s="8">
        <f t="shared" si="79"/>
        <v>0</v>
      </c>
      <c r="D792" s="9">
        <f t="shared" si="80"/>
        <v>0</v>
      </c>
      <c r="E792" s="9">
        <f t="shared" si="81"/>
        <v>0</v>
      </c>
      <c r="F792" s="8">
        <f t="shared" si="82"/>
        <v>0</v>
      </c>
      <c r="G792" s="16"/>
      <c r="H792" s="8">
        <f t="shared" si="83"/>
        <v>0</v>
      </c>
    </row>
    <row r="793" spans="2:8" x14ac:dyDescent="0.2">
      <c r="B793" s="51">
        <f t="shared" si="78"/>
        <v>0</v>
      </c>
      <c r="C793" s="8">
        <f t="shared" si="79"/>
        <v>0</v>
      </c>
      <c r="D793" s="9">
        <f t="shared" si="80"/>
        <v>0</v>
      </c>
      <c r="E793" s="9">
        <f t="shared" si="81"/>
        <v>0</v>
      </c>
      <c r="F793" s="8">
        <f t="shared" si="82"/>
        <v>0</v>
      </c>
      <c r="G793" s="16"/>
      <c r="H793" s="8">
        <f t="shared" si="83"/>
        <v>0</v>
      </c>
    </row>
    <row r="794" spans="2:8" x14ac:dyDescent="0.2">
      <c r="B794" s="51">
        <f t="shared" si="78"/>
        <v>0</v>
      </c>
      <c r="C794" s="8">
        <f t="shared" si="79"/>
        <v>0</v>
      </c>
      <c r="D794" s="9">
        <f t="shared" si="80"/>
        <v>0</v>
      </c>
      <c r="E794" s="9">
        <f t="shared" si="81"/>
        <v>0</v>
      </c>
      <c r="F794" s="8">
        <f t="shared" si="82"/>
        <v>0</v>
      </c>
      <c r="G794" s="16"/>
      <c r="H794" s="8">
        <f t="shared" si="83"/>
        <v>0</v>
      </c>
    </row>
    <row r="795" spans="2:8" x14ac:dyDescent="0.2">
      <c r="B795" s="51">
        <f t="shared" si="78"/>
        <v>0</v>
      </c>
      <c r="C795" s="8">
        <f t="shared" si="79"/>
        <v>0</v>
      </c>
      <c r="D795" s="9">
        <f t="shared" si="80"/>
        <v>0</v>
      </c>
      <c r="E795" s="9">
        <f t="shared" si="81"/>
        <v>0</v>
      </c>
      <c r="F795" s="8">
        <f t="shared" si="82"/>
        <v>0</v>
      </c>
      <c r="G795" s="16"/>
      <c r="H795" s="8">
        <f t="shared" si="83"/>
        <v>0</v>
      </c>
    </row>
    <row r="796" spans="2:8" x14ac:dyDescent="0.2">
      <c r="B796" s="51">
        <f t="shared" si="78"/>
        <v>0</v>
      </c>
      <c r="C796" s="8">
        <f t="shared" si="79"/>
        <v>0</v>
      </c>
      <c r="D796" s="9">
        <f t="shared" si="80"/>
        <v>0</v>
      </c>
      <c r="E796" s="9">
        <f t="shared" si="81"/>
        <v>0</v>
      </c>
      <c r="F796" s="8">
        <f t="shared" si="82"/>
        <v>0</v>
      </c>
      <c r="G796" s="16"/>
      <c r="H796" s="8">
        <f t="shared" si="83"/>
        <v>0</v>
      </c>
    </row>
    <row r="797" spans="2:8" x14ac:dyDescent="0.2">
      <c r="B797" s="51">
        <f t="shared" si="78"/>
        <v>0</v>
      </c>
      <c r="C797" s="8">
        <f t="shared" si="79"/>
        <v>0</v>
      </c>
      <c r="D797" s="9">
        <f t="shared" si="80"/>
        <v>0</v>
      </c>
      <c r="E797" s="9">
        <f t="shared" si="81"/>
        <v>0</v>
      </c>
      <c r="F797" s="8">
        <f t="shared" si="82"/>
        <v>0</v>
      </c>
      <c r="G797" s="16"/>
      <c r="H797" s="8">
        <f t="shared" si="83"/>
        <v>0</v>
      </c>
    </row>
    <row r="798" spans="2:8" x14ac:dyDescent="0.2">
      <c r="B798" s="51">
        <f t="shared" si="78"/>
        <v>0</v>
      </c>
      <c r="C798" s="8">
        <f t="shared" si="79"/>
        <v>0</v>
      </c>
      <c r="D798" s="9">
        <f t="shared" si="80"/>
        <v>0</v>
      </c>
      <c r="E798" s="9">
        <f t="shared" si="81"/>
        <v>0</v>
      </c>
      <c r="F798" s="8">
        <f t="shared" si="82"/>
        <v>0</v>
      </c>
      <c r="G798" s="16"/>
      <c r="H798" s="8">
        <f t="shared" si="83"/>
        <v>0</v>
      </c>
    </row>
    <row r="799" spans="2:8" x14ac:dyDescent="0.2">
      <c r="B799" s="51">
        <f t="shared" si="78"/>
        <v>0</v>
      </c>
      <c r="C799" s="8">
        <f t="shared" si="79"/>
        <v>0</v>
      </c>
      <c r="D799" s="9">
        <f t="shared" si="80"/>
        <v>0</v>
      </c>
      <c r="E799" s="9">
        <f t="shared" si="81"/>
        <v>0</v>
      </c>
      <c r="F799" s="8">
        <f t="shared" si="82"/>
        <v>0</v>
      </c>
      <c r="G799" s="16"/>
      <c r="H799" s="8">
        <f t="shared" si="83"/>
        <v>0</v>
      </c>
    </row>
    <row r="800" spans="2:8" x14ac:dyDescent="0.2">
      <c r="B800" s="51">
        <f t="shared" si="78"/>
        <v>0</v>
      </c>
      <c r="C800" s="8">
        <f t="shared" si="79"/>
        <v>0</v>
      </c>
      <c r="D800" s="9">
        <f t="shared" si="80"/>
        <v>0</v>
      </c>
      <c r="E800" s="9">
        <f t="shared" si="81"/>
        <v>0</v>
      </c>
      <c r="F800" s="8">
        <f t="shared" si="82"/>
        <v>0</v>
      </c>
      <c r="G800" s="16"/>
      <c r="H800" s="8">
        <f t="shared" si="83"/>
        <v>0</v>
      </c>
    </row>
    <row r="801" spans="2:8" x14ac:dyDescent="0.2">
      <c r="B801" s="51">
        <f t="shared" si="78"/>
        <v>0</v>
      </c>
      <c r="C801" s="8">
        <f t="shared" si="79"/>
        <v>0</v>
      </c>
      <c r="D801" s="9">
        <f t="shared" si="80"/>
        <v>0</v>
      </c>
      <c r="E801" s="9">
        <f t="shared" si="81"/>
        <v>0</v>
      </c>
      <c r="F801" s="8">
        <f t="shared" si="82"/>
        <v>0</v>
      </c>
      <c r="G801" s="16"/>
      <c r="H801" s="8">
        <f t="shared" si="83"/>
        <v>0</v>
      </c>
    </row>
    <row r="802" spans="2:8" x14ac:dyDescent="0.2">
      <c r="B802" s="51">
        <f t="shared" si="78"/>
        <v>0</v>
      </c>
      <c r="C802" s="8">
        <f t="shared" si="79"/>
        <v>0</v>
      </c>
      <c r="D802" s="9">
        <f t="shared" si="80"/>
        <v>0</v>
      </c>
      <c r="E802" s="9">
        <f t="shared" si="81"/>
        <v>0</v>
      </c>
      <c r="F802" s="8">
        <f t="shared" si="82"/>
        <v>0</v>
      </c>
      <c r="G802" s="16"/>
      <c r="H802" s="8">
        <f t="shared" si="83"/>
        <v>0</v>
      </c>
    </row>
    <row r="803" spans="2:8" x14ac:dyDescent="0.2">
      <c r="B803" s="51">
        <f t="shared" si="78"/>
        <v>0</v>
      </c>
      <c r="C803" s="8">
        <f t="shared" si="79"/>
        <v>0</v>
      </c>
      <c r="D803" s="9">
        <f t="shared" si="80"/>
        <v>0</v>
      </c>
      <c r="E803" s="9">
        <f t="shared" si="81"/>
        <v>0</v>
      </c>
      <c r="F803" s="8">
        <f t="shared" si="82"/>
        <v>0</v>
      </c>
      <c r="G803" s="16"/>
      <c r="H803" s="8">
        <f t="shared" si="83"/>
        <v>0</v>
      </c>
    </row>
    <row r="804" spans="2:8" x14ac:dyDescent="0.2">
      <c r="B804" s="51">
        <f t="shared" si="78"/>
        <v>0</v>
      </c>
      <c r="C804" s="8">
        <f t="shared" si="79"/>
        <v>0</v>
      </c>
      <c r="D804" s="9">
        <f t="shared" si="80"/>
        <v>0</v>
      </c>
      <c r="E804" s="9">
        <f t="shared" si="81"/>
        <v>0</v>
      </c>
      <c r="F804" s="8">
        <f t="shared" si="82"/>
        <v>0</v>
      </c>
      <c r="G804" s="16"/>
      <c r="H804" s="8">
        <f t="shared" si="83"/>
        <v>0</v>
      </c>
    </row>
    <row r="805" spans="2:8" x14ac:dyDescent="0.2">
      <c r="B805" s="51">
        <f t="shared" si="78"/>
        <v>0</v>
      </c>
      <c r="C805" s="8">
        <f t="shared" si="79"/>
        <v>0</v>
      </c>
      <c r="D805" s="9">
        <f t="shared" si="80"/>
        <v>0</v>
      </c>
      <c r="E805" s="9">
        <f t="shared" si="81"/>
        <v>0</v>
      </c>
      <c r="F805" s="8">
        <f t="shared" si="82"/>
        <v>0</v>
      </c>
      <c r="G805" s="16"/>
      <c r="H805" s="8">
        <f t="shared" si="83"/>
        <v>0</v>
      </c>
    </row>
    <row r="806" spans="2:8" x14ac:dyDescent="0.2">
      <c r="B806" s="51">
        <f t="shared" si="78"/>
        <v>0</v>
      </c>
      <c r="C806" s="8">
        <f t="shared" si="79"/>
        <v>0</v>
      </c>
      <c r="D806" s="9">
        <f t="shared" si="80"/>
        <v>0</v>
      </c>
      <c r="E806" s="9">
        <f t="shared" si="81"/>
        <v>0</v>
      </c>
      <c r="F806" s="8">
        <f t="shared" si="82"/>
        <v>0</v>
      </c>
      <c r="G806" s="16"/>
      <c r="H806" s="8">
        <f t="shared" si="83"/>
        <v>0</v>
      </c>
    </row>
    <row r="807" spans="2:8" x14ac:dyDescent="0.2">
      <c r="B807" s="51">
        <f t="shared" si="78"/>
        <v>0</v>
      </c>
      <c r="C807" s="8">
        <f t="shared" si="79"/>
        <v>0</v>
      </c>
      <c r="D807" s="9">
        <f t="shared" si="80"/>
        <v>0</v>
      </c>
      <c r="E807" s="9">
        <f t="shared" si="81"/>
        <v>0</v>
      </c>
      <c r="F807" s="8">
        <f t="shared" si="82"/>
        <v>0</v>
      </c>
      <c r="G807" s="16"/>
      <c r="H807" s="8">
        <f t="shared" si="83"/>
        <v>0</v>
      </c>
    </row>
    <row r="808" spans="2:8" x14ac:dyDescent="0.2">
      <c r="B808" s="51">
        <f t="shared" si="78"/>
        <v>0</v>
      </c>
      <c r="C808" s="8">
        <f t="shared" si="79"/>
        <v>0</v>
      </c>
      <c r="D808" s="9">
        <f t="shared" si="80"/>
        <v>0</v>
      </c>
      <c r="E808" s="9">
        <f t="shared" si="81"/>
        <v>0</v>
      </c>
      <c r="F808" s="8">
        <f t="shared" si="82"/>
        <v>0</v>
      </c>
      <c r="G808" s="16"/>
      <c r="H808" s="8">
        <f t="shared" si="83"/>
        <v>0</v>
      </c>
    </row>
    <row r="809" spans="2:8" x14ac:dyDescent="0.2">
      <c r="B809" s="51">
        <f t="shared" si="78"/>
        <v>0</v>
      </c>
      <c r="C809" s="8">
        <f t="shared" si="79"/>
        <v>0</v>
      </c>
      <c r="D809" s="9">
        <f t="shared" si="80"/>
        <v>0</v>
      </c>
      <c r="E809" s="9">
        <f t="shared" si="81"/>
        <v>0</v>
      </c>
      <c r="F809" s="8">
        <f t="shared" si="82"/>
        <v>0</v>
      </c>
      <c r="G809" s="16"/>
      <c r="H809" s="8">
        <f t="shared" si="83"/>
        <v>0</v>
      </c>
    </row>
    <row r="810" spans="2:8" x14ac:dyDescent="0.2">
      <c r="B810" s="51">
        <f t="shared" si="78"/>
        <v>0</v>
      </c>
      <c r="C810" s="8">
        <f t="shared" si="79"/>
        <v>0</v>
      </c>
      <c r="D810" s="9">
        <f t="shared" si="80"/>
        <v>0</v>
      </c>
      <c r="E810" s="9">
        <f t="shared" si="81"/>
        <v>0</v>
      </c>
      <c r="F810" s="8">
        <f t="shared" si="82"/>
        <v>0</v>
      </c>
      <c r="G810" s="16"/>
      <c r="H810" s="8">
        <f t="shared" si="83"/>
        <v>0</v>
      </c>
    </row>
    <row r="811" spans="2:8" x14ac:dyDescent="0.2">
      <c r="B811" s="51">
        <f t="shared" si="78"/>
        <v>0</v>
      </c>
      <c r="C811" s="8">
        <f t="shared" si="79"/>
        <v>0</v>
      </c>
      <c r="D811" s="9">
        <f t="shared" si="80"/>
        <v>0</v>
      </c>
      <c r="E811" s="9">
        <f t="shared" si="81"/>
        <v>0</v>
      </c>
      <c r="F811" s="8">
        <f t="shared" si="82"/>
        <v>0</v>
      </c>
      <c r="G811" s="16"/>
      <c r="H811" s="8">
        <f t="shared" si="83"/>
        <v>0</v>
      </c>
    </row>
    <row r="812" spans="2:8" x14ac:dyDescent="0.2">
      <c r="B812" s="51">
        <f t="shared" si="78"/>
        <v>0</v>
      </c>
      <c r="C812" s="8">
        <f t="shared" si="79"/>
        <v>0</v>
      </c>
      <c r="D812" s="9">
        <f t="shared" si="80"/>
        <v>0</v>
      </c>
      <c r="E812" s="9">
        <f t="shared" si="81"/>
        <v>0</v>
      </c>
      <c r="F812" s="8">
        <f t="shared" si="82"/>
        <v>0</v>
      </c>
      <c r="G812" s="16"/>
      <c r="H812" s="8">
        <f t="shared" si="83"/>
        <v>0</v>
      </c>
    </row>
    <row r="813" spans="2:8" x14ac:dyDescent="0.2">
      <c r="B813" s="51">
        <f t="shared" si="78"/>
        <v>0</v>
      </c>
      <c r="C813" s="8">
        <f t="shared" si="79"/>
        <v>0</v>
      </c>
      <c r="D813" s="9">
        <f t="shared" si="80"/>
        <v>0</v>
      </c>
      <c r="E813" s="9">
        <f t="shared" si="81"/>
        <v>0</v>
      </c>
      <c r="F813" s="8">
        <f t="shared" si="82"/>
        <v>0</v>
      </c>
      <c r="G813" s="16"/>
      <c r="H813" s="8">
        <f t="shared" si="83"/>
        <v>0</v>
      </c>
    </row>
    <row r="814" spans="2:8" x14ac:dyDescent="0.2">
      <c r="B814" s="51">
        <f t="shared" si="78"/>
        <v>0</v>
      </c>
      <c r="C814" s="8">
        <f t="shared" si="79"/>
        <v>0</v>
      </c>
      <c r="D814" s="9">
        <f t="shared" si="80"/>
        <v>0</v>
      </c>
      <c r="E814" s="9">
        <f t="shared" si="81"/>
        <v>0</v>
      </c>
      <c r="F814" s="8">
        <f t="shared" si="82"/>
        <v>0</v>
      </c>
      <c r="G814" s="16"/>
      <c r="H814" s="8">
        <f t="shared" si="83"/>
        <v>0</v>
      </c>
    </row>
    <row r="815" spans="2:8" x14ac:dyDescent="0.2">
      <c r="B815" s="51">
        <f t="shared" si="78"/>
        <v>0</v>
      </c>
      <c r="C815" s="8">
        <f t="shared" si="79"/>
        <v>0</v>
      </c>
      <c r="D815" s="9">
        <f t="shared" si="80"/>
        <v>0</v>
      </c>
      <c r="E815" s="9">
        <f t="shared" si="81"/>
        <v>0</v>
      </c>
      <c r="F815" s="8">
        <f t="shared" si="82"/>
        <v>0</v>
      </c>
      <c r="G815" s="16"/>
      <c r="H815" s="8">
        <f t="shared" si="83"/>
        <v>0</v>
      </c>
    </row>
    <row r="816" spans="2:8" x14ac:dyDescent="0.2">
      <c r="B816" s="51">
        <f t="shared" si="78"/>
        <v>0</v>
      </c>
      <c r="C816" s="8">
        <f t="shared" si="79"/>
        <v>0</v>
      </c>
      <c r="D816" s="9">
        <f t="shared" si="80"/>
        <v>0</v>
      </c>
      <c r="E816" s="9">
        <f t="shared" si="81"/>
        <v>0</v>
      </c>
      <c r="F816" s="8">
        <f t="shared" si="82"/>
        <v>0</v>
      </c>
      <c r="G816" s="16"/>
      <c r="H816" s="8">
        <f t="shared" si="83"/>
        <v>0</v>
      </c>
    </row>
    <row r="817" spans="2:8" x14ac:dyDescent="0.2">
      <c r="B817" s="51">
        <f t="shared" si="78"/>
        <v>0</v>
      </c>
      <c r="C817" s="8">
        <f t="shared" si="79"/>
        <v>0</v>
      </c>
      <c r="D817" s="9">
        <f t="shared" si="80"/>
        <v>0</v>
      </c>
      <c r="E817" s="9">
        <f t="shared" si="81"/>
        <v>0</v>
      </c>
      <c r="F817" s="8">
        <f t="shared" si="82"/>
        <v>0</v>
      </c>
      <c r="G817" s="16"/>
      <c r="H817" s="8">
        <f t="shared" si="83"/>
        <v>0</v>
      </c>
    </row>
    <row r="818" spans="2:8" x14ac:dyDescent="0.2">
      <c r="B818" s="51">
        <f t="shared" si="78"/>
        <v>0</v>
      </c>
      <c r="C818" s="8">
        <f t="shared" si="79"/>
        <v>0</v>
      </c>
      <c r="D818" s="9">
        <f t="shared" si="80"/>
        <v>0</v>
      </c>
      <c r="E818" s="9">
        <f t="shared" si="81"/>
        <v>0</v>
      </c>
      <c r="F818" s="8">
        <f t="shared" si="82"/>
        <v>0</v>
      </c>
      <c r="G818" s="16"/>
      <c r="H818" s="8">
        <f t="shared" si="83"/>
        <v>0</v>
      </c>
    </row>
    <row r="819" spans="2:8" x14ac:dyDescent="0.2">
      <c r="B819" s="51">
        <f t="shared" ref="B819:B882" si="84">IF(AND(B818&gt;0,B818&lt;E$8),B818+1,0)</f>
        <v>0</v>
      </c>
      <c r="C819" s="8">
        <f t="shared" ref="C819:C882" si="85">IF(B819&gt;0,H818,0)</f>
        <v>0</v>
      </c>
      <c r="D819" s="9">
        <f t="shared" ref="D819:D882" si="86">IF(B819&gt;0,C819*$F$8,0)</f>
        <v>0</v>
      </c>
      <c r="E819" s="9">
        <f t="shared" ref="E819:E882" si="87">IF(B819&gt;0,C819+D819,0)</f>
        <v>0</v>
      </c>
      <c r="F819" s="8">
        <f t="shared" ref="F819:F882" si="88">IF(B819&gt;0,$D$8,0)</f>
        <v>0</v>
      </c>
      <c r="G819" s="16"/>
      <c r="H819" s="8">
        <f t="shared" ref="H819:H882" si="89">IF(B819&gt;0,E819+F819+G819,0)</f>
        <v>0</v>
      </c>
    </row>
    <row r="820" spans="2:8" x14ac:dyDescent="0.2">
      <c r="B820" s="51">
        <f t="shared" si="84"/>
        <v>0</v>
      </c>
      <c r="C820" s="8">
        <f t="shared" si="85"/>
        <v>0</v>
      </c>
      <c r="D820" s="9">
        <f t="shared" si="86"/>
        <v>0</v>
      </c>
      <c r="E820" s="9">
        <f t="shared" si="87"/>
        <v>0</v>
      </c>
      <c r="F820" s="8">
        <f t="shared" si="88"/>
        <v>0</v>
      </c>
      <c r="G820" s="16"/>
      <c r="H820" s="8">
        <f t="shared" si="89"/>
        <v>0</v>
      </c>
    </row>
    <row r="821" spans="2:8" x14ac:dyDescent="0.2">
      <c r="B821" s="51">
        <f t="shared" si="84"/>
        <v>0</v>
      </c>
      <c r="C821" s="8">
        <f t="shared" si="85"/>
        <v>0</v>
      </c>
      <c r="D821" s="9">
        <f t="shared" si="86"/>
        <v>0</v>
      </c>
      <c r="E821" s="9">
        <f t="shared" si="87"/>
        <v>0</v>
      </c>
      <c r="F821" s="8">
        <f t="shared" si="88"/>
        <v>0</v>
      </c>
      <c r="G821" s="16"/>
      <c r="H821" s="8">
        <f t="shared" si="89"/>
        <v>0</v>
      </c>
    </row>
    <row r="822" spans="2:8" x14ac:dyDescent="0.2">
      <c r="B822" s="51">
        <f t="shared" si="84"/>
        <v>0</v>
      </c>
      <c r="C822" s="8">
        <f t="shared" si="85"/>
        <v>0</v>
      </c>
      <c r="D822" s="9">
        <f t="shared" si="86"/>
        <v>0</v>
      </c>
      <c r="E822" s="9">
        <f t="shared" si="87"/>
        <v>0</v>
      </c>
      <c r="F822" s="8">
        <f t="shared" si="88"/>
        <v>0</v>
      </c>
      <c r="G822" s="16"/>
      <c r="H822" s="8">
        <f t="shared" si="89"/>
        <v>0</v>
      </c>
    </row>
    <row r="823" spans="2:8" x14ac:dyDescent="0.2">
      <c r="B823" s="51">
        <f t="shared" si="84"/>
        <v>0</v>
      </c>
      <c r="C823" s="8">
        <f t="shared" si="85"/>
        <v>0</v>
      </c>
      <c r="D823" s="9">
        <f t="shared" si="86"/>
        <v>0</v>
      </c>
      <c r="E823" s="9">
        <f t="shared" si="87"/>
        <v>0</v>
      </c>
      <c r="F823" s="8">
        <f t="shared" si="88"/>
        <v>0</v>
      </c>
      <c r="G823" s="16"/>
      <c r="H823" s="8">
        <f t="shared" si="89"/>
        <v>0</v>
      </c>
    </row>
    <row r="824" spans="2:8" x14ac:dyDescent="0.2">
      <c r="B824" s="51">
        <f t="shared" si="84"/>
        <v>0</v>
      </c>
      <c r="C824" s="8">
        <f t="shared" si="85"/>
        <v>0</v>
      </c>
      <c r="D824" s="9">
        <f t="shared" si="86"/>
        <v>0</v>
      </c>
      <c r="E824" s="9">
        <f t="shared" si="87"/>
        <v>0</v>
      </c>
      <c r="F824" s="8">
        <f t="shared" si="88"/>
        <v>0</v>
      </c>
      <c r="G824" s="16"/>
      <c r="H824" s="8">
        <f t="shared" si="89"/>
        <v>0</v>
      </c>
    </row>
    <row r="825" spans="2:8" x14ac:dyDescent="0.2">
      <c r="B825" s="51">
        <f t="shared" si="84"/>
        <v>0</v>
      </c>
      <c r="C825" s="8">
        <f t="shared" si="85"/>
        <v>0</v>
      </c>
      <c r="D825" s="9">
        <f t="shared" si="86"/>
        <v>0</v>
      </c>
      <c r="E825" s="9">
        <f t="shared" si="87"/>
        <v>0</v>
      </c>
      <c r="F825" s="8">
        <f t="shared" si="88"/>
        <v>0</v>
      </c>
      <c r="G825" s="16"/>
      <c r="H825" s="8">
        <f t="shared" si="89"/>
        <v>0</v>
      </c>
    </row>
    <row r="826" spans="2:8" x14ac:dyDescent="0.2">
      <c r="B826" s="51">
        <f t="shared" si="84"/>
        <v>0</v>
      </c>
      <c r="C826" s="8">
        <f t="shared" si="85"/>
        <v>0</v>
      </c>
      <c r="D826" s="9">
        <f t="shared" si="86"/>
        <v>0</v>
      </c>
      <c r="E826" s="9">
        <f t="shared" si="87"/>
        <v>0</v>
      </c>
      <c r="F826" s="8">
        <f t="shared" si="88"/>
        <v>0</v>
      </c>
      <c r="G826" s="16"/>
      <c r="H826" s="8">
        <f t="shared" si="89"/>
        <v>0</v>
      </c>
    </row>
    <row r="827" spans="2:8" x14ac:dyDescent="0.2">
      <c r="B827" s="51">
        <f t="shared" si="84"/>
        <v>0</v>
      </c>
      <c r="C827" s="8">
        <f t="shared" si="85"/>
        <v>0</v>
      </c>
      <c r="D827" s="9">
        <f t="shared" si="86"/>
        <v>0</v>
      </c>
      <c r="E827" s="9">
        <f t="shared" si="87"/>
        <v>0</v>
      </c>
      <c r="F827" s="8">
        <f t="shared" si="88"/>
        <v>0</v>
      </c>
      <c r="G827" s="16"/>
      <c r="H827" s="8">
        <f t="shared" si="89"/>
        <v>0</v>
      </c>
    </row>
    <row r="828" spans="2:8" x14ac:dyDescent="0.2">
      <c r="B828" s="51">
        <f t="shared" si="84"/>
        <v>0</v>
      </c>
      <c r="C828" s="8">
        <f t="shared" si="85"/>
        <v>0</v>
      </c>
      <c r="D828" s="9">
        <f t="shared" si="86"/>
        <v>0</v>
      </c>
      <c r="E828" s="9">
        <f t="shared" si="87"/>
        <v>0</v>
      </c>
      <c r="F828" s="8">
        <f t="shared" si="88"/>
        <v>0</v>
      </c>
      <c r="G828" s="16"/>
      <c r="H828" s="8">
        <f t="shared" si="89"/>
        <v>0</v>
      </c>
    </row>
    <row r="829" spans="2:8" x14ac:dyDescent="0.2">
      <c r="B829" s="51">
        <f t="shared" si="84"/>
        <v>0</v>
      </c>
      <c r="C829" s="8">
        <f t="shared" si="85"/>
        <v>0</v>
      </c>
      <c r="D829" s="9">
        <f t="shared" si="86"/>
        <v>0</v>
      </c>
      <c r="E829" s="9">
        <f t="shared" si="87"/>
        <v>0</v>
      </c>
      <c r="F829" s="8">
        <f t="shared" si="88"/>
        <v>0</v>
      </c>
      <c r="G829" s="16"/>
      <c r="H829" s="8">
        <f t="shared" si="89"/>
        <v>0</v>
      </c>
    </row>
    <row r="830" spans="2:8" x14ac:dyDescent="0.2">
      <c r="B830" s="51">
        <f t="shared" si="84"/>
        <v>0</v>
      </c>
      <c r="C830" s="8">
        <f t="shared" si="85"/>
        <v>0</v>
      </c>
      <c r="D830" s="9">
        <f t="shared" si="86"/>
        <v>0</v>
      </c>
      <c r="E830" s="9">
        <f t="shared" si="87"/>
        <v>0</v>
      </c>
      <c r="F830" s="8">
        <f t="shared" si="88"/>
        <v>0</v>
      </c>
      <c r="G830" s="16"/>
      <c r="H830" s="8">
        <f t="shared" si="89"/>
        <v>0</v>
      </c>
    </row>
    <row r="831" spans="2:8" x14ac:dyDescent="0.2">
      <c r="B831" s="51">
        <f t="shared" si="84"/>
        <v>0</v>
      </c>
      <c r="C831" s="8">
        <f t="shared" si="85"/>
        <v>0</v>
      </c>
      <c r="D831" s="9">
        <f t="shared" si="86"/>
        <v>0</v>
      </c>
      <c r="E831" s="9">
        <f t="shared" si="87"/>
        <v>0</v>
      </c>
      <c r="F831" s="8">
        <f t="shared" si="88"/>
        <v>0</v>
      </c>
      <c r="G831" s="16"/>
      <c r="H831" s="8">
        <f t="shared" si="89"/>
        <v>0</v>
      </c>
    </row>
    <row r="832" spans="2:8" x14ac:dyDescent="0.2">
      <c r="B832" s="51">
        <f t="shared" si="84"/>
        <v>0</v>
      </c>
      <c r="C832" s="8">
        <f t="shared" si="85"/>
        <v>0</v>
      </c>
      <c r="D832" s="9">
        <f t="shared" si="86"/>
        <v>0</v>
      </c>
      <c r="E832" s="9">
        <f t="shared" si="87"/>
        <v>0</v>
      </c>
      <c r="F832" s="8">
        <f t="shared" si="88"/>
        <v>0</v>
      </c>
      <c r="G832" s="16"/>
      <c r="H832" s="8">
        <f t="shared" si="89"/>
        <v>0</v>
      </c>
    </row>
    <row r="833" spans="2:8" x14ac:dyDescent="0.2">
      <c r="B833" s="51">
        <f t="shared" si="84"/>
        <v>0</v>
      </c>
      <c r="C833" s="8">
        <f t="shared" si="85"/>
        <v>0</v>
      </c>
      <c r="D833" s="9">
        <f t="shared" si="86"/>
        <v>0</v>
      </c>
      <c r="E833" s="9">
        <f t="shared" si="87"/>
        <v>0</v>
      </c>
      <c r="F833" s="8">
        <f t="shared" si="88"/>
        <v>0</v>
      </c>
      <c r="G833" s="16"/>
      <c r="H833" s="8">
        <f t="shared" si="89"/>
        <v>0</v>
      </c>
    </row>
    <row r="834" spans="2:8" x14ac:dyDescent="0.2">
      <c r="B834" s="51">
        <f t="shared" si="84"/>
        <v>0</v>
      </c>
      <c r="C834" s="8">
        <f t="shared" si="85"/>
        <v>0</v>
      </c>
      <c r="D834" s="9">
        <f t="shared" si="86"/>
        <v>0</v>
      </c>
      <c r="E834" s="9">
        <f t="shared" si="87"/>
        <v>0</v>
      </c>
      <c r="F834" s="8">
        <f t="shared" si="88"/>
        <v>0</v>
      </c>
      <c r="G834" s="16"/>
      <c r="H834" s="8">
        <f t="shared" si="89"/>
        <v>0</v>
      </c>
    </row>
    <row r="835" spans="2:8" x14ac:dyDescent="0.2">
      <c r="B835" s="51">
        <f t="shared" si="84"/>
        <v>0</v>
      </c>
      <c r="C835" s="8">
        <f t="shared" si="85"/>
        <v>0</v>
      </c>
      <c r="D835" s="9">
        <f t="shared" si="86"/>
        <v>0</v>
      </c>
      <c r="E835" s="9">
        <f t="shared" si="87"/>
        <v>0</v>
      </c>
      <c r="F835" s="8">
        <f t="shared" si="88"/>
        <v>0</v>
      </c>
      <c r="G835" s="16"/>
      <c r="H835" s="8">
        <f t="shared" si="89"/>
        <v>0</v>
      </c>
    </row>
    <row r="836" spans="2:8" x14ac:dyDescent="0.2">
      <c r="B836" s="51">
        <f t="shared" si="84"/>
        <v>0</v>
      </c>
      <c r="C836" s="8">
        <f t="shared" si="85"/>
        <v>0</v>
      </c>
      <c r="D836" s="9">
        <f t="shared" si="86"/>
        <v>0</v>
      </c>
      <c r="E836" s="9">
        <f t="shared" si="87"/>
        <v>0</v>
      </c>
      <c r="F836" s="8">
        <f t="shared" si="88"/>
        <v>0</v>
      </c>
      <c r="G836" s="16"/>
      <c r="H836" s="8">
        <f t="shared" si="89"/>
        <v>0</v>
      </c>
    </row>
    <row r="837" spans="2:8" x14ac:dyDescent="0.2">
      <c r="B837" s="51">
        <f t="shared" si="84"/>
        <v>0</v>
      </c>
      <c r="C837" s="8">
        <f t="shared" si="85"/>
        <v>0</v>
      </c>
      <c r="D837" s="9">
        <f t="shared" si="86"/>
        <v>0</v>
      </c>
      <c r="E837" s="9">
        <f t="shared" si="87"/>
        <v>0</v>
      </c>
      <c r="F837" s="8">
        <f t="shared" si="88"/>
        <v>0</v>
      </c>
      <c r="G837" s="16"/>
      <c r="H837" s="8">
        <f t="shared" si="89"/>
        <v>0</v>
      </c>
    </row>
    <row r="838" spans="2:8" x14ac:dyDescent="0.2">
      <c r="B838" s="51">
        <f t="shared" si="84"/>
        <v>0</v>
      </c>
      <c r="C838" s="8">
        <f t="shared" si="85"/>
        <v>0</v>
      </c>
      <c r="D838" s="9">
        <f t="shared" si="86"/>
        <v>0</v>
      </c>
      <c r="E838" s="9">
        <f t="shared" si="87"/>
        <v>0</v>
      </c>
      <c r="F838" s="8">
        <f t="shared" si="88"/>
        <v>0</v>
      </c>
      <c r="G838" s="16"/>
      <c r="H838" s="8">
        <f t="shared" si="89"/>
        <v>0</v>
      </c>
    </row>
    <row r="839" spans="2:8" x14ac:dyDescent="0.2">
      <c r="B839" s="51">
        <f t="shared" si="84"/>
        <v>0</v>
      </c>
      <c r="C839" s="8">
        <f t="shared" si="85"/>
        <v>0</v>
      </c>
      <c r="D839" s="9">
        <f t="shared" si="86"/>
        <v>0</v>
      </c>
      <c r="E839" s="9">
        <f t="shared" si="87"/>
        <v>0</v>
      </c>
      <c r="F839" s="8">
        <f t="shared" si="88"/>
        <v>0</v>
      </c>
      <c r="G839" s="16"/>
      <c r="H839" s="8">
        <f t="shared" si="89"/>
        <v>0</v>
      </c>
    </row>
    <row r="840" spans="2:8" x14ac:dyDescent="0.2">
      <c r="B840" s="51">
        <f t="shared" si="84"/>
        <v>0</v>
      </c>
      <c r="C840" s="8">
        <f t="shared" si="85"/>
        <v>0</v>
      </c>
      <c r="D840" s="9">
        <f t="shared" si="86"/>
        <v>0</v>
      </c>
      <c r="E840" s="9">
        <f t="shared" si="87"/>
        <v>0</v>
      </c>
      <c r="F840" s="8">
        <f t="shared" si="88"/>
        <v>0</v>
      </c>
      <c r="G840" s="16"/>
      <c r="H840" s="8">
        <f t="shared" si="89"/>
        <v>0</v>
      </c>
    </row>
    <row r="841" spans="2:8" x14ac:dyDescent="0.2">
      <c r="B841" s="51">
        <f t="shared" si="84"/>
        <v>0</v>
      </c>
      <c r="C841" s="8">
        <f t="shared" si="85"/>
        <v>0</v>
      </c>
      <c r="D841" s="9">
        <f t="shared" si="86"/>
        <v>0</v>
      </c>
      <c r="E841" s="9">
        <f t="shared" si="87"/>
        <v>0</v>
      </c>
      <c r="F841" s="8">
        <f t="shared" si="88"/>
        <v>0</v>
      </c>
      <c r="G841" s="16"/>
      <c r="H841" s="8">
        <f t="shared" si="89"/>
        <v>0</v>
      </c>
    </row>
    <row r="842" spans="2:8" x14ac:dyDescent="0.2">
      <c r="B842" s="51">
        <f t="shared" si="84"/>
        <v>0</v>
      </c>
      <c r="C842" s="8">
        <f t="shared" si="85"/>
        <v>0</v>
      </c>
      <c r="D842" s="9">
        <f t="shared" si="86"/>
        <v>0</v>
      </c>
      <c r="E842" s="9">
        <f t="shared" si="87"/>
        <v>0</v>
      </c>
      <c r="F842" s="8">
        <f t="shared" si="88"/>
        <v>0</v>
      </c>
      <c r="G842" s="16"/>
      <c r="H842" s="8">
        <f t="shared" si="89"/>
        <v>0</v>
      </c>
    </row>
    <row r="843" spans="2:8" x14ac:dyDescent="0.2">
      <c r="B843" s="51">
        <f t="shared" si="84"/>
        <v>0</v>
      </c>
      <c r="C843" s="8">
        <f t="shared" si="85"/>
        <v>0</v>
      </c>
      <c r="D843" s="9">
        <f t="shared" si="86"/>
        <v>0</v>
      </c>
      <c r="E843" s="9">
        <f t="shared" si="87"/>
        <v>0</v>
      </c>
      <c r="F843" s="8">
        <f t="shared" si="88"/>
        <v>0</v>
      </c>
      <c r="G843" s="16"/>
      <c r="H843" s="8">
        <f t="shared" si="89"/>
        <v>0</v>
      </c>
    </row>
    <row r="844" spans="2:8" x14ac:dyDescent="0.2">
      <c r="B844" s="51">
        <f t="shared" si="84"/>
        <v>0</v>
      </c>
      <c r="C844" s="8">
        <f t="shared" si="85"/>
        <v>0</v>
      </c>
      <c r="D844" s="9">
        <f t="shared" si="86"/>
        <v>0</v>
      </c>
      <c r="E844" s="9">
        <f t="shared" si="87"/>
        <v>0</v>
      </c>
      <c r="F844" s="8">
        <f t="shared" si="88"/>
        <v>0</v>
      </c>
      <c r="G844" s="16"/>
      <c r="H844" s="8">
        <f t="shared" si="89"/>
        <v>0</v>
      </c>
    </row>
    <row r="845" spans="2:8" x14ac:dyDescent="0.2">
      <c r="B845" s="51">
        <f t="shared" si="84"/>
        <v>0</v>
      </c>
      <c r="C845" s="8">
        <f t="shared" si="85"/>
        <v>0</v>
      </c>
      <c r="D845" s="9">
        <f t="shared" si="86"/>
        <v>0</v>
      </c>
      <c r="E845" s="9">
        <f t="shared" si="87"/>
        <v>0</v>
      </c>
      <c r="F845" s="8">
        <f t="shared" si="88"/>
        <v>0</v>
      </c>
      <c r="G845" s="16"/>
      <c r="H845" s="8">
        <f t="shared" si="89"/>
        <v>0</v>
      </c>
    </row>
    <row r="846" spans="2:8" x14ac:dyDescent="0.2">
      <c r="B846" s="51">
        <f t="shared" si="84"/>
        <v>0</v>
      </c>
      <c r="C846" s="8">
        <f t="shared" si="85"/>
        <v>0</v>
      </c>
      <c r="D846" s="9">
        <f t="shared" si="86"/>
        <v>0</v>
      </c>
      <c r="E846" s="9">
        <f t="shared" si="87"/>
        <v>0</v>
      </c>
      <c r="F846" s="8">
        <f t="shared" si="88"/>
        <v>0</v>
      </c>
      <c r="G846" s="16"/>
      <c r="H846" s="8">
        <f t="shared" si="89"/>
        <v>0</v>
      </c>
    </row>
    <row r="847" spans="2:8" x14ac:dyDescent="0.2">
      <c r="B847" s="51">
        <f t="shared" si="84"/>
        <v>0</v>
      </c>
      <c r="C847" s="8">
        <f t="shared" si="85"/>
        <v>0</v>
      </c>
      <c r="D847" s="9">
        <f t="shared" si="86"/>
        <v>0</v>
      </c>
      <c r="E847" s="9">
        <f t="shared" si="87"/>
        <v>0</v>
      </c>
      <c r="F847" s="8">
        <f t="shared" si="88"/>
        <v>0</v>
      </c>
      <c r="G847" s="16"/>
      <c r="H847" s="8">
        <f t="shared" si="89"/>
        <v>0</v>
      </c>
    </row>
    <row r="848" spans="2:8" x14ac:dyDescent="0.2">
      <c r="B848" s="51">
        <f t="shared" si="84"/>
        <v>0</v>
      </c>
      <c r="C848" s="8">
        <f t="shared" si="85"/>
        <v>0</v>
      </c>
      <c r="D848" s="9">
        <f t="shared" si="86"/>
        <v>0</v>
      </c>
      <c r="E848" s="9">
        <f t="shared" si="87"/>
        <v>0</v>
      </c>
      <c r="F848" s="8">
        <f t="shared" si="88"/>
        <v>0</v>
      </c>
      <c r="G848" s="16"/>
      <c r="H848" s="8">
        <f t="shared" si="89"/>
        <v>0</v>
      </c>
    </row>
    <row r="849" spans="2:8" x14ac:dyDescent="0.2">
      <c r="B849" s="51">
        <f t="shared" si="84"/>
        <v>0</v>
      </c>
      <c r="C849" s="8">
        <f t="shared" si="85"/>
        <v>0</v>
      </c>
      <c r="D849" s="9">
        <f t="shared" si="86"/>
        <v>0</v>
      </c>
      <c r="E849" s="9">
        <f t="shared" si="87"/>
        <v>0</v>
      </c>
      <c r="F849" s="8">
        <f t="shared" si="88"/>
        <v>0</v>
      </c>
      <c r="G849" s="16"/>
      <c r="H849" s="8">
        <f t="shared" si="89"/>
        <v>0</v>
      </c>
    </row>
    <row r="850" spans="2:8" x14ac:dyDescent="0.2">
      <c r="B850" s="51">
        <f t="shared" si="84"/>
        <v>0</v>
      </c>
      <c r="C850" s="8">
        <f t="shared" si="85"/>
        <v>0</v>
      </c>
      <c r="D850" s="9">
        <f t="shared" si="86"/>
        <v>0</v>
      </c>
      <c r="E850" s="9">
        <f t="shared" si="87"/>
        <v>0</v>
      </c>
      <c r="F850" s="8">
        <f t="shared" si="88"/>
        <v>0</v>
      </c>
      <c r="G850" s="16"/>
      <c r="H850" s="8">
        <f t="shared" si="89"/>
        <v>0</v>
      </c>
    </row>
    <row r="851" spans="2:8" x14ac:dyDescent="0.2">
      <c r="B851" s="51">
        <f t="shared" si="84"/>
        <v>0</v>
      </c>
      <c r="C851" s="8">
        <f t="shared" si="85"/>
        <v>0</v>
      </c>
      <c r="D851" s="9">
        <f t="shared" si="86"/>
        <v>0</v>
      </c>
      <c r="E851" s="9">
        <f t="shared" si="87"/>
        <v>0</v>
      </c>
      <c r="F851" s="8">
        <f t="shared" si="88"/>
        <v>0</v>
      </c>
      <c r="G851" s="16"/>
      <c r="H851" s="8">
        <f t="shared" si="89"/>
        <v>0</v>
      </c>
    </row>
    <row r="852" spans="2:8" x14ac:dyDescent="0.2">
      <c r="B852" s="51">
        <f t="shared" si="84"/>
        <v>0</v>
      </c>
      <c r="C852" s="8">
        <f t="shared" si="85"/>
        <v>0</v>
      </c>
      <c r="D852" s="9">
        <f t="shared" si="86"/>
        <v>0</v>
      </c>
      <c r="E852" s="9">
        <f t="shared" si="87"/>
        <v>0</v>
      </c>
      <c r="F852" s="8">
        <f t="shared" si="88"/>
        <v>0</v>
      </c>
      <c r="G852" s="16"/>
      <c r="H852" s="8">
        <f t="shared" si="89"/>
        <v>0</v>
      </c>
    </row>
    <row r="853" spans="2:8" x14ac:dyDescent="0.2">
      <c r="B853" s="51">
        <f t="shared" si="84"/>
        <v>0</v>
      </c>
      <c r="C853" s="8">
        <f t="shared" si="85"/>
        <v>0</v>
      </c>
      <c r="D853" s="9">
        <f t="shared" si="86"/>
        <v>0</v>
      </c>
      <c r="E853" s="9">
        <f t="shared" si="87"/>
        <v>0</v>
      </c>
      <c r="F853" s="8">
        <f t="shared" si="88"/>
        <v>0</v>
      </c>
      <c r="G853" s="16"/>
      <c r="H853" s="8">
        <f t="shared" si="89"/>
        <v>0</v>
      </c>
    </row>
    <row r="854" spans="2:8" x14ac:dyDescent="0.2">
      <c r="B854" s="51">
        <f t="shared" si="84"/>
        <v>0</v>
      </c>
      <c r="C854" s="8">
        <f t="shared" si="85"/>
        <v>0</v>
      </c>
      <c r="D854" s="9">
        <f t="shared" si="86"/>
        <v>0</v>
      </c>
      <c r="E854" s="9">
        <f t="shared" si="87"/>
        <v>0</v>
      </c>
      <c r="F854" s="8">
        <f t="shared" si="88"/>
        <v>0</v>
      </c>
      <c r="G854" s="16"/>
      <c r="H854" s="8">
        <f t="shared" si="89"/>
        <v>0</v>
      </c>
    </row>
    <row r="855" spans="2:8" x14ac:dyDescent="0.2">
      <c r="B855" s="51">
        <f t="shared" si="84"/>
        <v>0</v>
      </c>
      <c r="C855" s="8">
        <f t="shared" si="85"/>
        <v>0</v>
      </c>
      <c r="D855" s="9">
        <f t="shared" si="86"/>
        <v>0</v>
      </c>
      <c r="E855" s="9">
        <f t="shared" si="87"/>
        <v>0</v>
      </c>
      <c r="F855" s="8">
        <f t="shared" si="88"/>
        <v>0</v>
      </c>
      <c r="G855" s="16"/>
      <c r="H855" s="8">
        <f t="shared" si="89"/>
        <v>0</v>
      </c>
    </row>
    <row r="856" spans="2:8" x14ac:dyDescent="0.2">
      <c r="B856" s="51">
        <f t="shared" si="84"/>
        <v>0</v>
      </c>
      <c r="C856" s="8">
        <f t="shared" si="85"/>
        <v>0</v>
      </c>
      <c r="D856" s="9">
        <f t="shared" si="86"/>
        <v>0</v>
      </c>
      <c r="E856" s="9">
        <f t="shared" si="87"/>
        <v>0</v>
      </c>
      <c r="F856" s="8">
        <f t="shared" si="88"/>
        <v>0</v>
      </c>
      <c r="G856" s="16"/>
      <c r="H856" s="8">
        <f t="shared" si="89"/>
        <v>0</v>
      </c>
    </row>
    <row r="857" spans="2:8" x14ac:dyDescent="0.2">
      <c r="B857" s="51">
        <f t="shared" si="84"/>
        <v>0</v>
      </c>
      <c r="C857" s="8">
        <f t="shared" si="85"/>
        <v>0</v>
      </c>
      <c r="D857" s="9">
        <f t="shared" si="86"/>
        <v>0</v>
      </c>
      <c r="E857" s="9">
        <f t="shared" si="87"/>
        <v>0</v>
      </c>
      <c r="F857" s="8">
        <f t="shared" si="88"/>
        <v>0</v>
      </c>
      <c r="G857" s="16"/>
      <c r="H857" s="8">
        <f t="shared" si="89"/>
        <v>0</v>
      </c>
    </row>
    <row r="858" spans="2:8" x14ac:dyDescent="0.2">
      <c r="B858" s="51">
        <f t="shared" si="84"/>
        <v>0</v>
      </c>
      <c r="C858" s="8">
        <f t="shared" si="85"/>
        <v>0</v>
      </c>
      <c r="D858" s="9">
        <f t="shared" si="86"/>
        <v>0</v>
      </c>
      <c r="E858" s="9">
        <f t="shared" si="87"/>
        <v>0</v>
      </c>
      <c r="F858" s="8">
        <f t="shared" si="88"/>
        <v>0</v>
      </c>
      <c r="G858" s="16"/>
      <c r="H858" s="8">
        <f t="shared" si="89"/>
        <v>0</v>
      </c>
    </row>
    <row r="859" spans="2:8" x14ac:dyDescent="0.2">
      <c r="B859" s="51">
        <f t="shared" si="84"/>
        <v>0</v>
      </c>
      <c r="C859" s="8">
        <f t="shared" si="85"/>
        <v>0</v>
      </c>
      <c r="D859" s="9">
        <f t="shared" si="86"/>
        <v>0</v>
      </c>
      <c r="E859" s="9">
        <f t="shared" si="87"/>
        <v>0</v>
      </c>
      <c r="F859" s="8">
        <f t="shared" si="88"/>
        <v>0</v>
      </c>
      <c r="G859" s="16"/>
      <c r="H859" s="8">
        <f t="shared" si="89"/>
        <v>0</v>
      </c>
    </row>
    <row r="860" spans="2:8" x14ac:dyDescent="0.2">
      <c r="B860" s="51">
        <f t="shared" si="84"/>
        <v>0</v>
      </c>
      <c r="C860" s="8">
        <f t="shared" si="85"/>
        <v>0</v>
      </c>
      <c r="D860" s="9">
        <f t="shared" si="86"/>
        <v>0</v>
      </c>
      <c r="E860" s="9">
        <f t="shared" si="87"/>
        <v>0</v>
      </c>
      <c r="F860" s="8">
        <f t="shared" si="88"/>
        <v>0</v>
      </c>
      <c r="G860" s="16"/>
      <c r="H860" s="8">
        <f t="shared" si="89"/>
        <v>0</v>
      </c>
    </row>
    <row r="861" spans="2:8" x14ac:dyDescent="0.2">
      <c r="B861" s="51">
        <f t="shared" si="84"/>
        <v>0</v>
      </c>
      <c r="C861" s="8">
        <f t="shared" si="85"/>
        <v>0</v>
      </c>
      <c r="D861" s="9">
        <f t="shared" si="86"/>
        <v>0</v>
      </c>
      <c r="E861" s="9">
        <f t="shared" si="87"/>
        <v>0</v>
      </c>
      <c r="F861" s="8">
        <f t="shared" si="88"/>
        <v>0</v>
      </c>
      <c r="G861" s="16"/>
      <c r="H861" s="8">
        <f t="shared" si="89"/>
        <v>0</v>
      </c>
    </row>
    <row r="862" spans="2:8" x14ac:dyDescent="0.2">
      <c r="B862" s="51">
        <f t="shared" si="84"/>
        <v>0</v>
      </c>
      <c r="C862" s="8">
        <f t="shared" si="85"/>
        <v>0</v>
      </c>
      <c r="D862" s="9">
        <f t="shared" si="86"/>
        <v>0</v>
      </c>
      <c r="E862" s="9">
        <f t="shared" si="87"/>
        <v>0</v>
      </c>
      <c r="F862" s="8">
        <f t="shared" si="88"/>
        <v>0</v>
      </c>
      <c r="G862" s="16"/>
      <c r="H862" s="8">
        <f t="shared" si="89"/>
        <v>0</v>
      </c>
    </row>
    <row r="863" spans="2:8" x14ac:dyDescent="0.2">
      <c r="B863" s="51">
        <f t="shared" si="84"/>
        <v>0</v>
      </c>
      <c r="C863" s="8">
        <f t="shared" si="85"/>
        <v>0</v>
      </c>
      <c r="D863" s="9">
        <f t="shared" si="86"/>
        <v>0</v>
      </c>
      <c r="E863" s="9">
        <f t="shared" si="87"/>
        <v>0</v>
      </c>
      <c r="F863" s="8">
        <f t="shared" si="88"/>
        <v>0</v>
      </c>
      <c r="G863" s="16"/>
      <c r="H863" s="8">
        <f t="shared" si="89"/>
        <v>0</v>
      </c>
    </row>
    <row r="864" spans="2:8" x14ac:dyDescent="0.2">
      <c r="B864" s="51">
        <f t="shared" si="84"/>
        <v>0</v>
      </c>
      <c r="C864" s="8">
        <f t="shared" si="85"/>
        <v>0</v>
      </c>
      <c r="D864" s="9">
        <f t="shared" si="86"/>
        <v>0</v>
      </c>
      <c r="E864" s="9">
        <f t="shared" si="87"/>
        <v>0</v>
      </c>
      <c r="F864" s="8">
        <f t="shared" si="88"/>
        <v>0</v>
      </c>
      <c r="G864" s="16"/>
      <c r="H864" s="8">
        <f t="shared" si="89"/>
        <v>0</v>
      </c>
    </row>
    <row r="865" spans="2:8" x14ac:dyDescent="0.2">
      <c r="B865" s="51">
        <f t="shared" si="84"/>
        <v>0</v>
      </c>
      <c r="C865" s="8">
        <f t="shared" si="85"/>
        <v>0</v>
      </c>
      <c r="D865" s="9">
        <f t="shared" si="86"/>
        <v>0</v>
      </c>
      <c r="E865" s="9">
        <f t="shared" si="87"/>
        <v>0</v>
      </c>
      <c r="F865" s="8">
        <f t="shared" si="88"/>
        <v>0</v>
      </c>
      <c r="G865" s="16"/>
      <c r="H865" s="8">
        <f t="shared" si="89"/>
        <v>0</v>
      </c>
    </row>
    <row r="866" spans="2:8" x14ac:dyDescent="0.2">
      <c r="B866" s="51">
        <f t="shared" si="84"/>
        <v>0</v>
      </c>
      <c r="C866" s="8">
        <f t="shared" si="85"/>
        <v>0</v>
      </c>
      <c r="D866" s="9">
        <f t="shared" si="86"/>
        <v>0</v>
      </c>
      <c r="E866" s="9">
        <f t="shared" si="87"/>
        <v>0</v>
      </c>
      <c r="F866" s="8">
        <f t="shared" si="88"/>
        <v>0</v>
      </c>
      <c r="G866" s="16"/>
      <c r="H866" s="8">
        <f t="shared" si="89"/>
        <v>0</v>
      </c>
    </row>
    <row r="867" spans="2:8" x14ac:dyDescent="0.2">
      <c r="B867" s="51">
        <f t="shared" si="84"/>
        <v>0</v>
      </c>
      <c r="C867" s="8">
        <f t="shared" si="85"/>
        <v>0</v>
      </c>
      <c r="D867" s="9">
        <f t="shared" si="86"/>
        <v>0</v>
      </c>
      <c r="E867" s="9">
        <f t="shared" si="87"/>
        <v>0</v>
      </c>
      <c r="F867" s="8">
        <f t="shared" si="88"/>
        <v>0</v>
      </c>
      <c r="G867" s="16"/>
      <c r="H867" s="8">
        <f t="shared" si="89"/>
        <v>0</v>
      </c>
    </row>
    <row r="868" spans="2:8" x14ac:dyDescent="0.2">
      <c r="B868" s="51">
        <f t="shared" si="84"/>
        <v>0</v>
      </c>
      <c r="C868" s="8">
        <f t="shared" si="85"/>
        <v>0</v>
      </c>
      <c r="D868" s="9">
        <f t="shared" si="86"/>
        <v>0</v>
      </c>
      <c r="E868" s="9">
        <f t="shared" si="87"/>
        <v>0</v>
      </c>
      <c r="F868" s="8">
        <f t="shared" si="88"/>
        <v>0</v>
      </c>
      <c r="G868" s="16"/>
      <c r="H868" s="8">
        <f t="shared" si="89"/>
        <v>0</v>
      </c>
    </row>
    <row r="869" spans="2:8" x14ac:dyDescent="0.2">
      <c r="B869" s="51">
        <f t="shared" si="84"/>
        <v>0</v>
      </c>
      <c r="C869" s="8">
        <f t="shared" si="85"/>
        <v>0</v>
      </c>
      <c r="D869" s="9">
        <f t="shared" si="86"/>
        <v>0</v>
      </c>
      <c r="E869" s="9">
        <f t="shared" si="87"/>
        <v>0</v>
      </c>
      <c r="F869" s="8">
        <f t="shared" si="88"/>
        <v>0</v>
      </c>
      <c r="G869" s="16"/>
      <c r="H869" s="8">
        <f t="shared" si="89"/>
        <v>0</v>
      </c>
    </row>
    <row r="870" spans="2:8" x14ac:dyDescent="0.2">
      <c r="B870" s="51">
        <f t="shared" si="84"/>
        <v>0</v>
      </c>
      <c r="C870" s="8">
        <f t="shared" si="85"/>
        <v>0</v>
      </c>
      <c r="D870" s="9">
        <f t="shared" si="86"/>
        <v>0</v>
      </c>
      <c r="E870" s="9">
        <f t="shared" si="87"/>
        <v>0</v>
      </c>
      <c r="F870" s="8">
        <f t="shared" si="88"/>
        <v>0</v>
      </c>
      <c r="G870" s="16"/>
      <c r="H870" s="8">
        <f t="shared" si="89"/>
        <v>0</v>
      </c>
    </row>
    <row r="871" spans="2:8" x14ac:dyDescent="0.2">
      <c r="B871" s="51">
        <f t="shared" si="84"/>
        <v>0</v>
      </c>
      <c r="C871" s="8">
        <f t="shared" si="85"/>
        <v>0</v>
      </c>
      <c r="D871" s="9">
        <f t="shared" si="86"/>
        <v>0</v>
      </c>
      <c r="E871" s="9">
        <f t="shared" si="87"/>
        <v>0</v>
      </c>
      <c r="F871" s="8">
        <f t="shared" si="88"/>
        <v>0</v>
      </c>
      <c r="G871" s="16"/>
      <c r="H871" s="8">
        <f t="shared" si="89"/>
        <v>0</v>
      </c>
    </row>
    <row r="872" spans="2:8" x14ac:dyDescent="0.2">
      <c r="B872" s="51">
        <f t="shared" si="84"/>
        <v>0</v>
      </c>
      <c r="C872" s="8">
        <f t="shared" si="85"/>
        <v>0</v>
      </c>
      <c r="D872" s="9">
        <f t="shared" si="86"/>
        <v>0</v>
      </c>
      <c r="E872" s="9">
        <f t="shared" si="87"/>
        <v>0</v>
      </c>
      <c r="F872" s="8">
        <f t="shared" si="88"/>
        <v>0</v>
      </c>
      <c r="G872" s="16"/>
      <c r="H872" s="8">
        <f t="shared" si="89"/>
        <v>0</v>
      </c>
    </row>
    <row r="873" spans="2:8" x14ac:dyDescent="0.2">
      <c r="B873" s="51">
        <f t="shared" si="84"/>
        <v>0</v>
      </c>
      <c r="C873" s="8">
        <f t="shared" si="85"/>
        <v>0</v>
      </c>
      <c r="D873" s="9">
        <f t="shared" si="86"/>
        <v>0</v>
      </c>
      <c r="E873" s="9">
        <f t="shared" si="87"/>
        <v>0</v>
      </c>
      <c r="F873" s="8">
        <f t="shared" si="88"/>
        <v>0</v>
      </c>
      <c r="G873" s="16"/>
      <c r="H873" s="8">
        <f t="shared" si="89"/>
        <v>0</v>
      </c>
    </row>
    <row r="874" spans="2:8" x14ac:dyDescent="0.2">
      <c r="B874" s="51">
        <f t="shared" si="84"/>
        <v>0</v>
      </c>
      <c r="C874" s="8">
        <f t="shared" si="85"/>
        <v>0</v>
      </c>
      <c r="D874" s="9">
        <f t="shared" si="86"/>
        <v>0</v>
      </c>
      <c r="E874" s="9">
        <f t="shared" si="87"/>
        <v>0</v>
      </c>
      <c r="F874" s="8">
        <f t="shared" si="88"/>
        <v>0</v>
      </c>
      <c r="G874" s="16"/>
      <c r="H874" s="8">
        <f t="shared" si="89"/>
        <v>0</v>
      </c>
    </row>
    <row r="875" spans="2:8" x14ac:dyDescent="0.2">
      <c r="B875" s="51">
        <f t="shared" si="84"/>
        <v>0</v>
      </c>
      <c r="C875" s="8">
        <f t="shared" si="85"/>
        <v>0</v>
      </c>
      <c r="D875" s="9">
        <f t="shared" si="86"/>
        <v>0</v>
      </c>
      <c r="E875" s="9">
        <f t="shared" si="87"/>
        <v>0</v>
      </c>
      <c r="F875" s="8">
        <f t="shared" si="88"/>
        <v>0</v>
      </c>
      <c r="G875" s="16"/>
      <c r="H875" s="8">
        <f t="shared" si="89"/>
        <v>0</v>
      </c>
    </row>
    <row r="876" spans="2:8" x14ac:dyDescent="0.2">
      <c r="B876" s="51">
        <f t="shared" si="84"/>
        <v>0</v>
      </c>
      <c r="C876" s="8">
        <f t="shared" si="85"/>
        <v>0</v>
      </c>
      <c r="D876" s="9">
        <f t="shared" si="86"/>
        <v>0</v>
      </c>
      <c r="E876" s="9">
        <f t="shared" si="87"/>
        <v>0</v>
      </c>
      <c r="F876" s="8">
        <f t="shared" si="88"/>
        <v>0</v>
      </c>
      <c r="G876" s="16"/>
      <c r="H876" s="8">
        <f t="shared" si="89"/>
        <v>0</v>
      </c>
    </row>
    <row r="877" spans="2:8" x14ac:dyDescent="0.2">
      <c r="B877" s="51">
        <f t="shared" si="84"/>
        <v>0</v>
      </c>
      <c r="C877" s="8">
        <f t="shared" si="85"/>
        <v>0</v>
      </c>
      <c r="D877" s="9">
        <f t="shared" si="86"/>
        <v>0</v>
      </c>
      <c r="E877" s="9">
        <f t="shared" si="87"/>
        <v>0</v>
      </c>
      <c r="F877" s="8">
        <f t="shared" si="88"/>
        <v>0</v>
      </c>
      <c r="G877" s="16"/>
      <c r="H877" s="8">
        <f t="shared" si="89"/>
        <v>0</v>
      </c>
    </row>
    <row r="878" spans="2:8" x14ac:dyDescent="0.2">
      <c r="B878" s="51">
        <f t="shared" si="84"/>
        <v>0</v>
      </c>
      <c r="C878" s="8">
        <f t="shared" si="85"/>
        <v>0</v>
      </c>
      <c r="D878" s="9">
        <f t="shared" si="86"/>
        <v>0</v>
      </c>
      <c r="E878" s="9">
        <f t="shared" si="87"/>
        <v>0</v>
      </c>
      <c r="F878" s="8">
        <f t="shared" si="88"/>
        <v>0</v>
      </c>
      <c r="G878" s="16"/>
      <c r="H878" s="8">
        <f t="shared" si="89"/>
        <v>0</v>
      </c>
    </row>
    <row r="879" spans="2:8" x14ac:dyDescent="0.2">
      <c r="B879" s="51">
        <f t="shared" si="84"/>
        <v>0</v>
      </c>
      <c r="C879" s="8">
        <f t="shared" si="85"/>
        <v>0</v>
      </c>
      <c r="D879" s="9">
        <f t="shared" si="86"/>
        <v>0</v>
      </c>
      <c r="E879" s="9">
        <f t="shared" si="87"/>
        <v>0</v>
      </c>
      <c r="F879" s="8">
        <f t="shared" si="88"/>
        <v>0</v>
      </c>
      <c r="G879" s="16"/>
      <c r="H879" s="8">
        <f t="shared" si="89"/>
        <v>0</v>
      </c>
    </row>
    <row r="880" spans="2:8" x14ac:dyDescent="0.2">
      <c r="B880" s="51">
        <f t="shared" si="84"/>
        <v>0</v>
      </c>
      <c r="C880" s="8">
        <f t="shared" si="85"/>
        <v>0</v>
      </c>
      <c r="D880" s="9">
        <f t="shared" si="86"/>
        <v>0</v>
      </c>
      <c r="E880" s="9">
        <f t="shared" si="87"/>
        <v>0</v>
      </c>
      <c r="F880" s="8">
        <f t="shared" si="88"/>
        <v>0</v>
      </c>
      <c r="G880" s="16"/>
      <c r="H880" s="8">
        <f t="shared" si="89"/>
        <v>0</v>
      </c>
    </row>
    <row r="881" spans="2:8" x14ac:dyDescent="0.2">
      <c r="B881" s="51">
        <f t="shared" si="84"/>
        <v>0</v>
      </c>
      <c r="C881" s="8">
        <f t="shared" si="85"/>
        <v>0</v>
      </c>
      <c r="D881" s="9">
        <f t="shared" si="86"/>
        <v>0</v>
      </c>
      <c r="E881" s="9">
        <f t="shared" si="87"/>
        <v>0</v>
      </c>
      <c r="F881" s="8">
        <f t="shared" si="88"/>
        <v>0</v>
      </c>
      <c r="G881" s="16"/>
      <c r="H881" s="8">
        <f t="shared" si="89"/>
        <v>0</v>
      </c>
    </row>
    <row r="882" spans="2:8" x14ac:dyDescent="0.2">
      <c r="B882" s="51">
        <f t="shared" si="84"/>
        <v>0</v>
      </c>
      <c r="C882" s="8">
        <f t="shared" si="85"/>
        <v>0</v>
      </c>
      <c r="D882" s="9">
        <f t="shared" si="86"/>
        <v>0</v>
      </c>
      <c r="E882" s="9">
        <f t="shared" si="87"/>
        <v>0</v>
      </c>
      <c r="F882" s="8">
        <f t="shared" si="88"/>
        <v>0</v>
      </c>
      <c r="G882" s="16"/>
      <c r="H882" s="8">
        <f t="shared" si="89"/>
        <v>0</v>
      </c>
    </row>
    <row r="883" spans="2:8" x14ac:dyDescent="0.2">
      <c r="B883" s="51">
        <f t="shared" ref="B883:B946" si="90">IF(AND(B882&gt;0,B882&lt;E$8),B882+1,0)</f>
        <v>0</v>
      </c>
      <c r="C883" s="8">
        <f t="shared" ref="C883:C946" si="91">IF(B883&gt;0,H882,0)</f>
        <v>0</v>
      </c>
      <c r="D883" s="9">
        <f t="shared" ref="D883:D946" si="92">IF(B883&gt;0,C883*$F$8,0)</f>
        <v>0</v>
      </c>
      <c r="E883" s="9">
        <f t="shared" ref="E883:E946" si="93">IF(B883&gt;0,C883+D883,0)</f>
        <v>0</v>
      </c>
      <c r="F883" s="8">
        <f t="shared" ref="F883:F946" si="94">IF(B883&gt;0,$D$8,0)</f>
        <v>0</v>
      </c>
      <c r="G883" s="16"/>
      <c r="H883" s="8">
        <f t="shared" ref="H883:H946" si="95">IF(B883&gt;0,E883+F883+G883,0)</f>
        <v>0</v>
      </c>
    </row>
    <row r="884" spans="2:8" x14ac:dyDescent="0.2">
      <c r="B884" s="51">
        <f t="shared" si="90"/>
        <v>0</v>
      </c>
      <c r="C884" s="8">
        <f t="shared" si="91"/>
        <v>0</v>
      </c>
      <c r="D884" s="9">
        <f t="shared" si="92"/>
        <v>0</v>
      </c>
      <c r="E884" s="9">
        <f t="shared" si="93"/>
        <v>0</v>
      </c>
      <c r="F884" s="8">
        <f t="shared" si="94"/>
        <v>0</v>
      </c>
      <c r="G884" s="16"/>
      <c r="H884" s="8">
        <f t="shared" si="95"/>
        <v>0</v>
      </c>
    </row>
    <row r="885" spans="2:8" x14ac:dyDescent="0.2">
      <c r="B885" s="51">
        <f t="shared" si="90"/>
        <v>0</v>
      </c>
      <c r="C885" s="8">
        <f t="shared" si="91"/>
        <v>0</v>
      </c>
      <c r="D885" s="9">
        <f t="shared" si="92"/>
        <v>0</v>
      </c>
      <c r="E885" s="9">
        <f t="shared" si="93"/>
        <v>0</v>
      </c>
      <c r="F885" s="8">
        <f t="shared" si="94"/>
        <v>0</v>
      </c>
      <c r="G885" s="16"/>
      <c r="H885" s="8">
        <f t="shared" si="95"/>
        <v>0</v>
      </c>
    </row>
    <row r="886" spans="2:8" x14ac:dyDescent="0.2">
      <c r="B886" s="51">
        <f t="shared" si="90"/>
        <v>0</v>
      </c>
      <c r="C886" s="8">
        <f t="shared" si="91"/>
        <v>0</v>
      </c>
      <c r="D886" s="9">
        <f t="shared" si="92"/>
        <v>0</v>
      </c>
      <c r="E886" s="9">
        <f t="shared" si="93"/>
        <v>0</v>
      </c>
      <c r="F886" s="8">
        <f t="shared" si="94"/>
        <v>0</v>
      </c>
      <c r="G886" s="16"/>
      <c r="H886" s="8">
        <f t="shared" si="95"/>
        <v>0</v>
      </c>
    </row>
    <row r="887" spans="2:8" x14ac:dyDescent="0.2">
      <c r="B887" s="51">
        <f t="shared" si="90"/>
        <v>0</v>
      </c>
      <c r="C887" s="8">
        <f t="shared" si="91"/>
        <v>0</v>
      </c>
      <c r="D887" s="9">
        <f t="shared" si="92"/>
        <v>0</v>
      </c>
      <c r="E887" s="9">
        <f t="shared" si="93"/>
        <v>0</v>
      </c>
      <c r="F887" s="8">
        <f t="shared" si="94"/>
        <v>0</v>
      </c>
      <c r="G887" s="16"/>
      <c r="H887" s="8">
        <f t="shared" si="95"/>
        <v>0</v>
      </c>
    </row>
    <row r="888" spans="2:8" x14ac:dyDescent="0.2">
      <c r="B888" s="51">
        <f t="shared" si="90"/>
        <v>0</v>
      </c>
      <c r="C888" s="8">
        <f t="shared" si="91"/>
        <v>0</v>
      </c>
      <c r="D888" s="9">
        <f t="shared" si="92"/>
        <v>0</v>
      </c>
      <c r="E888" s="9">
        <f t="shared" si="93"/>
        <v>0</v>
      </c>
      <c r="F888" s="8">
        <f t="shared" si="94"/>
        <v>0</v>
      </c>
      <c r="G888" s="16"/>
      <c r="H888" s="8">
        <f t="shared" si="95"/>
        <v>0</v>
      </c>
    </row>
    <row r="889" spans="2:8" x14ac:dyDescent="0.2">
      <c r="B889" s="51">
        <f t="shared" si="90"/>
        <v>0</v>
      </c>
      <c r="C889" s="8">
        <f t="shared" si="91"/>
        <v>0</v>
      </c>
      <c r="D889" s="9">
        <f t="shared" si="92"/>
        <v>0</v>
      </c>
      <c r="E889" s="9">
        <f t="shared" si="93"/>
        <v>0</v>
      </c>
      <c r="F889" s="8">
        <f t="shared" si="94"/>
        <v>0</v>
      </c>
      <c r="G889" s="16"/>
      <c r="H889" s="8">
        <f t="shared" si="95"/>
        <v>0</v>
      </c>
    </row>
    <row r="890" spans="2:8" x14ac:dyDescent="0.2">
      <c r="B890" s="51">
        <f t="shared" si="90"/>
        <v>0</v>
      </c>
      <c r="C890" s="8">
        <f t="shared" si="91"/>
        <v>0</v>
      </c>
      <c r="D890" s="9">
        <f t="shared" si="92"/>
        <v>0</v>
      </c>
      <c r="E890" s="9">
        <f t="shared" si="93"/>
        <v>0</v>
      </c>
      <c r="F890" s="8">
        <f t="shared" si="94"/>
        <v>0</v>
      </c>
      <c r="G890" s="16"/>
      <c r="H890" s="8">
        <f t="shared" si="95"/>
        <v>0</v>
      </c>
    </row>
    <row r="891" spans="2:8" x14ac:dyDescent="0.2">
      <c r="B891" s="51">
        <f t="shared" si="90"/>
        <v>0</v>
      </c>
      <c r="C891" s="8">
        <f t="shared" si="91"/>
        <v>0</v>
      </c>
      <c r="D891" s="9">
        <f t="shared" si="92"/>
        <v>0</v>
      </c>
      <c r="E891" s="9">
        <f t="shared" si="93"/>
        <v>0</v>
      </c>
      <c r="F891" s="8">
        <f t="shared" si="94"/>
        <v>0</v>
      </c>
      <c r="G891" s="16"/>
      <c r="H891" s="8">
        <f t="shared" si="95"/>
        <v>0</v>
      </c>
    </row>
    <row r="892" spans="2:8" x14ac:dyDescent="0.2">
      <c r="B892" s="51">
        <f t="shared" si="90"/>
        <v>0</v>
      </c>
      <c r="C892" s="8">
        <f t="shared" si="91"/>
        <v>0</v>
      </c>
      <c r="D892" s="9">
        <f t="shared" si="92"/>
        <v>0</v>
      </c>
      <c r="E892" s="9">
        <f t="shared" si="93"/>
        <v>0</v>
      </c>
      <c r="F892" s="8">
        <f t="shared" si="94"/>
        <v>0</v>
      </c>
      <c r="G892" s="16"/>
      <c r="H892" s="8">
        <f t="shared" si="95"/>
        <v>0</v>
      </c>
    </row>
    <row r="893" spans="2:8" x14ac:dyDescent="0.2">
      <c r="B893" s="51">
        <f t="shared" si="90"/>
        <v>0</v>
      </c>
      <c r="C893" s="8">
        <f t="shared" si="91"/>
        <v>0</v>
      </c>
      <c r="D893" s="9">
        <f t="shared" si="92"/>
        <v>0</v>
      </c>
      <c r="E893" s="9">
        <f t="shared" si="93"/>
        <v>0</v>
      </c>
      <c r="F893" s="8">
        <f t="shared" si="94"/>
        <v>0</v>
      </c>
      <c r="G893" s="16"/>
      <c r="H893" s="8">
        <f t="shared" si="95"/>
        <v>0</v>
      </c>
    </row>
    <row r="894" spans="2:8" x14ac:dyDescent="0.2">
      <c r="B894" s="51">
        <f t="shared" si="90"/>
        <v>0</v>
      </c>
      <c r="C894" s="8">
        <f t="shared" si="91"/>
        <v>0</v>
      </c>
      <c r="D894" s="9">
        <f t="shared" si="92"/>
        <v>0</v>
      </c>
      <c r="E894" s="9">
        <f t="shared" si="93"/>
        <v>0</v>
      </c>
      <c r="F894" s="8">
        <f t="shared" si="94"/>
        <v>0</v>
      </c>
      <c r="G894" s="16"/>
      <c r="H894" s="8">
        <f t="shared" si="95"/>
        <v>0</v>
      </c>
    </row>
    <row r="895" spans="2:8" x14ac:dyDescent="0.2">
      <c r="B895" s="51">
        <f t="shared" si="90"/>
        <v>0</v>
      </c>
      <c r="C895" s="8">
        <f t="shared" si="91"/>
        <v>0</v>
      </c>
      <c r="D895" s="9">
        <f t="shared" si="92"/>
        <v>0</v>
      </c>
      <c r="E895" s="9">
        <f t="shared" si="93"/>
        <v>0</v>
      </c>
      <c r="F895" s="8">
        <f t="shared" si="94"/>
        <v>0</v>
      </c>
      <c r="G895" s="16"/>
      <c r="H895" s="8">
        <f t="shared" si="95"/>
        <v>0</v>
      </c>
    </row>
    <row r="896" spans="2:8" x14ac:dyDescent="0.2">
      <c r="B896" s="51">
        <f t="shared" si="90"/>
        <v>0</v>
      </c>
      <c r="C896" s="8">
        <f t="shared" si="91"/>
        <v>0</v>
      </c>
      <c r="D896" s="9">
        <f t="shared" si="92"/>
        <v>0</v>
      </c>
      <c r="E896" s="9">
        <f t="shared" si="93"/>
        <v>0</v>
      </c>
      <c r="F896" s="8">
        <f t="shared" si="94"/>
        <v>0</v>
      </c>
      <c r="G896" s="16"/>
      <c r="H896" s="8">
        <f t="shared" si="95"/>
        <v>0</v>
      </c>
    </row>
    <row r="897" spans="2:8" x14ac:dyDescent="0.2">
      <c r="B897" s="51">
        <f t="shared" si="90"/>
        <v>0</v>
      </c>
      <c r="C897" s="8">
        <f t="shared" si="91"/>
        <v>0</v>
      </c>
      <c r="D897" s="9">
        <f t="shared" si="92"/>
        <v>0</v>
      </c>
      <c r="E897" s="9">
        <f t="shared" si="93"/>
        <v>0</v>
      </c>
      <c r="F897" s="8">
        <f t="shared" si="94"/>
        <v>0</v>
      </c>
      <c r="G897" s="16"/>
      <c r="H897" s="8">
        <f t="shared" si="95"/>
        <v>0</v>
      </c>
    </row>
    <row r="898" spans="2:8" x14ac:dyDescent="0.2">
      <c r="B898" s="51">
        <f t="shared" si="90"/>
        <v>0</v>
      </c>
      <c r="C898" s="8">
        <f t="shared" si="91"/>
        <v>0</v>
      </c>
      <c r="D898" s="9">
        <f t="shared" si="92"/>
        <v>0</v>
      </c>
      <c r="E898" s="9">
        <f t="shared" si="93"/>
        <v>0</v>
      </c>
      <c r="F898" s="8">
        <f t="shared" si="94"/>
        <v>0</v>
      </c>
      <c r="G898" s="16"/>
      <c r="H898" s="8">
        <f t="shared" si="95"/>
        <v>0</v>
      </c>
    </row>
    <row r="899" spans="2:8" x14ac:dyDescent="0.2">
      <c r="B899" s="51">
        <f t="shared" si="90"/>
        <v>0</v>
      </c>
      <c r="C899" s="8">
        <f t="shared" si="91"/>
        <v>0</v>
      </c>
      <c r="D899" s="9">
        <f t="shared" si="92"/>
        <v>0</v>
      </c>
      <c r="E899" s="9">
        <f t="shared" si="93"/>
        <v>0</v>
      </c>
      <c r="F899" s="8">
        <f t="shared" si="94"/>
        <v>0</v>
      </c>
      <c r="G899" s="16"/>
      <c r="H899" s="8">
        <f t="shared" si="95"/>
        <v>0</v>
      </c>
    </row>
    <row r="900" spans="2:8" x14ac:dyDescent="0.2">
      <c r="B900" s="51">
        <f t="shared" si="90"/>
        <v>0</v>
      </c>
      <c r="C900" s="8">
        <f t="shared" si="91"/>
        <v>0</v>
      </c>
      <c r="D900" s="9">
        <f t="shared" si="92"/>
        <v>0</v>
      </c>
      <c r="E900" s="9">
        <f t="shared" si="93"/>
        <v>0</v>
      </c>
      <c r="F900" s="8">
        <f t="shared" si="94"/>
        <v>0</v>
      </c>
      <c r="G900" s="16"/>
      <c r="H900" s="8">
        <f t="shared" si="95"/>
        <v>0</v>
      </c>
    </row>
    <row r="901" spans="2:8" x14ac:dyDescent="0.2">
      <c r="B901" s="51">
        <f t="shared" si="90"/>
        <v>0</v>
      </c>
      <c r="C901" s="8">
        <f t="shared" si="91"/>
        <v>0</v>
      </c>
      <c r="D901" s="9">
        <f t="shared" si="92"/>
        <v>0</v>
      </c>
      <c r="E901" s="9">
        <f t="shared" si="93"/>
        <v>0</v>
      </c>
      <c r="F901" s="8">
        <f t="shared" si="94"/>
        <v>0</v>
      </c>
      <c r="G901" s="16"/>
      <c r="H901" s="8">
        <f t="shared" si="95"/>
        <v>0</v>
      </c>
    </row>
    <row r="902" spans="2:8" x14ac:dyDescent="0.2">
      <c r="B902" s="51">
        <f t="shared" si="90"/>
        <v>0</v>
      </c>
      <c r="C902" s="8">
        <f t="shared" si="91"/>
        <v>0</v>
      </c>
      <c r="D902" s="9">
        <f t="shared" si="92"/>
        <v>0</v>
      </c>
      <c r="E902" s="9">
        <f t="shared" si="93"/>
        <v>0</v>
      </c>
      <c r="F902" s="8">
        <f t="shared" si="94"/>
        <v>0</v>
      </c>
      <c r="G902" s="16"/>
      <c r="H902" s="8">
        <f t="shared" si="95"/>
        <v>0</v>
      </c>
    </row>
    <row r="903" spans="2:8" x14ac:dyDescent="0.2">
      <c r="B903" s="51">
        <f t="shared" si="90"/>
        <v>0</v>
      </c>
      <c r="C903" s="8">
        <f t="shared" si="91"/>
        <v>0</v>
      </c>
      <c r="D903" s="9">
        <f t="shared" si="92"/>
        <v>0</v>
      </c>
      <c r="E903" s="9">
        <f t="shared" si="93"/>
        <v>0</v>
      </c>
      <c r="F903" s="8">
        <f t="shared" si="94"/>
        <v>0</v>
      </c>
      <c r="G903" s="16"/>
      <c r="H903" s="8">
        <f t="shared" si="95"/>
        <v>0</v>
      </c>
    </row>
    <row r="904" spans="2:8" x14ac:dyDescent="0.2">
      <c r="B904" s="51">
        <f t="shared" si="90"/>
        <v>0</v>
      </c>
      <c r="C904" s="8">
        <f t="shared" si="91"/>
        <v>0</v>
      </c>
      <c r="D904" s="9">
        <f t="shared" si="92"/>
        <v>0</v>
      </c>
      <c r="E904" s="9">
        <f t="shared" si="93"/>
        <v>0</v>
      </c>
      <c r="F904" s="8">
        <f t="shared" si="94"/>
        <v>0</v>
      </c>
      <c r="G904" s="16"/>
      <c r="H904" s="8">
        <f t="shared" si="95"/>
        <v>0</v>
      </c>
    </row>
    <row r="905" spans="2:8" x14ac:dyDescent="0.2">
      <c r="B905" s="51">
        <f t="shared" si="90"/>
        <v>0</v>
      </c>
      <c r="C905" s="8">
        <f t="shared" si="91"/>
        <v>0</v>
      </c>
      <c r="D905" s="9">
        <f t="shared" si="92"/>
        <v>0</v>
      </c>
      <c r="E905" s="9">
        <f t="shared" si="93"/>
        <v>0</v>
      </c>
      <c r="F905" s="8">
        <f t="shared" si="94"/>
        <v>0</v>
      </c>
      <c r="G905" s="16"/>
      <c r="H905" s="8">
        <f t="shared" si="95"/>
        <v>0</v>
      </c>
    </row>
    <row r="906" spans="2:8" x14ac:dyDescent="0.2">
      <c r="B906" s="51">
        <f t="shared" si="90"/>
        <v>0</v>
      </c>
      <c r="C906" s="8">
        <f t="shared" si="91"/>
        <v>0</v>
      </c>
      <c r="D906" s="9">
        <f t="shared" si="92"/>
        <v>0</v>
      </c>
      <c r="E906" s="9">
        <f t="shared" si="93"/>
        <v>0</v>
      </c>
      <c r="F906" s="8">
        <f t="shared" si="94"/>
        <v>0</v>
      </c>
      <c r="G906" s="16"/>
      <c r="H906" s="8">
        <f t="shared" si="95"/>
        <v>0</v>
      </c>
    </row>
    <row r="907" spans="2:8" x14ac:dyDescent="0.2">
      <c r="B907" s="51">
        <f t="shared" si="90"/>
        <v>0</v>
      </c>
      <c r="C907" s="8">
        <f t="shared" si="91"/>
        <v>0</v>
      </c>
      <c r="D907" s="9">
        <f t="shared" si="92"/>
        <v>0</v>
      </c>
      <c r="E907" s="9">
        <f t="shared" si="93"/>
        <v>0</v>
      </c>
      <c r="F907" s="8">
        <f t="shared" si="94"/>
        <v>0</v>
      </c>
      <c r="G907" s="16"/>
      <c r="H907" s="8">
        <f t="shared" si="95"/>
        <v>0</v>
      </c>
    </row>
    <row r="908" spans="2:8" x14ac:dyDescent="0.2">
      <c r="B908" s="51">
        <f t="shared" si="90"/>
        <v>0</v>
      </c>
      <c r="C908" s="8">
        <f t="shared" si="91"/>
        <v>0</v>
      </c>
      <c r="D908" s="9">
        <f t="shared" si="92"/>
        <v>0</v>
      </c>
      <c r="E908" s="9">
        <f t="shared" si="93"/>
        <v>0</v>
      </c>
      <c r="F908" s="8">
        <f t="shared" si="94"/>
        <v>0</v>
      </c>
      <c r="G908" s="16"/>
      <c r="H908" s="8">
        <f t="shared" si="95"/>
        <v>0</v>
      </c>
    </row>
    <row r="909" spans="2:8" x14ac:dyDescent="0.2">
      <c r="B909" s="51">
        <f t="shared" si="90"/>
        <v>0</v>
      </c>
      <c r="C909" s="8">
        <f t="shared" si="91"/>
        <v>0</v>
      </c>
      <c r="D909" s="9">
        <f t="shared" si="92"/>
        <v>0</v>
      </c>
      <c r="E909" s="9">
        <f t="shared" si="93"/>
        <v>0</v>
      </c>
      <c r="F909" s="8">
        <f t="shared" si="94"/>
        <v>0</v>
      </c>
      <c r="G909" s="16"/>
      <c r="H909" s="8">
        <f t="shared" si="95"/>
        <v>0</v>
      </c>
    </row>
    <row r="910" spans="2:8" x14ac:dyDescent="0.2">
      <c r="B910" s="51">
        <f t="shared" si="90"/>
        <v>0</v>
      </c>
      <c r="C910" s="8">
        <f t="shared" si="91"/>
        <v>0</v>
      </c>
      <c r="D910" s="9">
        <f t="shared" si="92"/>
        <v>0</v>
      </c>
      <c r="E910" s="9">
        <f t="shared" si="93"/>
        <v>0</v>
      </c>
      <c r="F910" s="8">
        <f t="shared" si="94"/>
        <v>0</v>
      </c>
      <c r="G910" s="16"/>
      <c r="H910" s="8">
        <f t="shared" si="95"/>
        <v>0</v>
      </c>
    </row>
    <row r="911" spans="2:8" x14ac:dyDescent="0.2">
      <c r="B911" s="51">
        <f t="shared" si="90"/>
        <v>0</v>
      </c>
      <c r="C911" s="8">
        <f t="shared" si="91"/>
        <v>0</v>
      </c>
      <c r="D911" s="9">
        <f t="shared" si="92"/>
        <v>0</v>
      </c>
      <c r="E911" s="9">
        <f t="shared" si="93"/>
        <v>0</v>
      </c>
      <c r="F911" s="8">
        <f t="shared" si="94"/>
        <v>0</v>
      </c>
      <c r="G911" s="16"/>
      <c r="H911" s="8">
        <f t="shared" si="95"/>
        <v>0</v>
      </c>
    </row>
    <row r="912" spans="2:8" x14ac:dyDescent="0.2">
      <c r="B912" s="51">
        <f t="shared" si="90"/>
        <v>0</v>
      </c>
      <c r="C912" s="8">
        <f t="shared" si="91"/>
        <v>0</v>
      </c>
      <c r="D912" s="9">
        <f t="shared" si="92"/>
        <v>0</v>
      </c>
      <c r="E912" s="9">
        <f t="shared" si="93"/>
        <v>0</v>
      </c>
      <c r="F912" s="8">
        <f t="shared" si="94"/>
        <v>0</v>
      </c>
      <c r="G912" s="16"/>
      <c r="H912" s="8">
        <f t="shared" si="95"/>
        <v>0</v>
      </c>
    </row>
    <row r="913" spans="2:8" x14ac:dyDescent="0.2">
      <c r="B913" s="51">
        <f t="shared" si="90"/>
        <v>0</v>
      </c>
      <c r="C913" s="8">
        <f t="shared" si="91"/>
        <v>0</v>
      </c>
      <c r="D913" s="9">
        <f t="shared" si="92"/>
        <v>0</v>
      </c>
      <c r="E913" s="9">
        <f t="shared" si="93"/>
        <v>0</v>
      </c>
      <c r="F913" s="8">
        <f t="shared" si="94"/>
        <v>0</v>
      </c>
      <c r="G913" s="16"/>
      <c r="H913" s="8">
        <f t="shared" si="95"/>
        <v>0</v>
      </c>
    </row>
    <row r="914" spans="2:8" x14ac:dyDescent="0.2">
      <c r="B914" s="51">
        <f t="shared" si="90"/>
        <v>0</v>
      </c>
      <c r="C914" s="8">
        <f t="shared" si="91"/>
        <v>0</v>
      </c>
      <c r="D914" s="9">
        <f t="shared" si="92"/>
        <v>0</v>
      </c>
      <c r="E914" s="9">
        <f t="shared" si="93"/>
        <v>0</v>
      </c>
      <c r="F914" s="8">
        <f t="shared" si="94"/>
        <v>0</v>
      </c>
      <c r="G914" s="16"/>
      <c r="H914" s="8">
        <f t="shared" si="95"/>
        <v>0</v>
      </c>
    </row>
    <row r="915" spans="2:8" x14ac:dyDescent="0.2">
      <c r="B915" s="51">
        <f t="shared" si="90"/>
        <v>0</v>
      </c>
      <c r="C915" s="8">
        <f t="shared" si="91"/>
        <v>0</v>
      </c>
      <c r="D915" s="9">
        <f t="shared" si="92"/>
        <v>0</v>
      </c>
      <c r="E915" s="9">
        <f t="shared" si="93"/>
        <v>0</v>
      </c>
      <c r="F915" s="8">
        <f t="shared" si="94"/>
        <v>0</v>
      </c>
      <c r="G915" s="16"/>
      <c r="H915" s="8">
        <f t="shared" si="95"/>
        <v>0</v>
      </c>
    </row>
    <row r="916" spans="2:8" x14ac:dyDescent="0.2">
      <c r="B916" s="51">
        <f t="shared" si="90"/>
        <v>0</v>
      </c>
      <c r="C916" s="8">
        <f t="shared" si="91"/>
        <v>0</v>
      </c>
      <c r="D916" s="9">
        <f t="shared" si="92"/>
        <v>0</v>
      </c>
      <c r="E916" s="9">
        <f t="shared" si="93"/>
        <v>0</v>
      </c>
      <c r="F916" s="8">
        <f t="shared" si="94"/>
        <v>0</v>
      </c>
      <c r="G916" s="16"/>
      <c r="H916" s="8">
        <f t="shared" si="95"/>
        <v>0</v>
      </c>
    </row>
    <row r="917" spans="2:8" x14ac:dyDescent="0.2">
      <c r="B917" s="51">
        <f t="shared" si="90"/>
        <v>0</v>
      </c>
      <c r="C917" s="8">
        <f t="shared" si="91"/>
        <v>0</v>
      </c>
      <c r="D917" s="9">
        <f t="shared" si="92"/>
        <v>0</v>
      </c>
      <c r="E917" s="9">
        <f t="shared" si="93"/>
        <v>0</v>
      </c>
      <c r="F917" s="8">
        <f t="shared" si="94"/>
        <v>0</v>
      </c>
      <c r="G917" s="16"/>
      <c r="H917" s="8">
        <f t="shared" si="95"/>
        <v>0</v>
      </c>
    </row>
    <row r="918" spans="2:8" x14ac:dyDescent="0.2">
      <c r="B918" s="51">
        <f t="shared" si="90"/>
        <v>0</v>
      </c>
      <c r="C918" s="8">
        <f t="shared" si="91"/>
        <v>0</v>
      </c>
      <c r="D918" s="9">
        <f t="shared" si="92"/>
        <v>0</v>
      </c>
      <c r="E918" s="9">
        <f t="shared" si="93"/>
        <v>0</v>
      </c>
      <c r="F918" s="8">
        <f t="shared" si="94"/>
        <v>0</v>
      </c>
      <c r="G918" s="16"/>
      <c r="H918" s="8">
        <f t="shared" si="95"/>
        <v>0</v>
      </c>
    </row>
    <row r="919" spans="2:8" x14ac:dyDescent="0.2">
      <c r="B919" s="51">
        <f t="shared" si="90"/>
        <v>0</v>
      </c>
      <c r="C919" s="8">
        <f t="shared" si="91"/>
        <v>0</v>
      </c>
      <c r="D919" s="9">
        <f t="shared" si="92"/>
        <v>0</v>
      </c>
      <c r="E919" s="9">
        <f t="shared" si="93"/>
        <v>0</v>
      </c>
      <c r="F919" s="8">
        <f t="shared" si="94"/>
        <v>0</v>
      </c>
      <c r="G919" s="16"/>
      <c r="H919" s="8">
        <f t="shared" si="95"/>
        <v>0</v>
      </c>
    </row>
    <row r="920" spans="2:8" x14ac:dyDescent="0.2">
      <c r="B920" s="51">
        <f t="shared" si="90"/>
        <v>0</v>
      </c>
      <c r="C920" s="8">
        <f t="shared" si="91"/>
        <v>0</v>
      </c>
      <c r="D920" s="9">
        <f t="shared" si="92"/>
        <v>0</v>
      </c>
      <c r="E920" s="9">
        <f t="shared" si="93"/>
        <v>0</v>
      </c>
      <c r="F920" s="8">
        <f t="shared" si="94"/>
        <v>0</v>
      </c>
      <c r="G920" s="16"/>
      <c r="H920" s="8">
        <f t="shared" si="95"/>
        <v>0</v>
      </c>
    </row>
    <row r="921" spans="2:8" x14ac:dyDescent="0.2">
      <c r="B921" s="51">
        <f t="shared" si="90"/>
        <v>0</v>
      </c>
      <c r="C921" s="8">
        <f t="shared" si="91"/>
        <v>0</v>
      </c>
      <c r="D921" s="9">
        <f t="shared" si="92"/>
        <v>0</v>
      </c>
      <c r="E921" s="9">
        <f t="shared" si="93"/>
        <v>0</v>
      </c>
      <c r="F921" s="8">
        <f t="shared" si="94"/>
        <v>0</v>
      </c>
      <c r="G921" s="16"/>
      <c r="H921" s="8">
        <f t="shared" si="95"/>
        <v>0</v>
      </c>
    </row>
    <row r="922" spans="2:8" x14ac:dyDescent="0.2">
      <c r="B922" s="51">
        <f t="shared" si="90"/>
        <v>0</v>
      </c>
      <c r="C922" s="8">
        <f t="shared" si="91"/>
        <v>0</v>
      </c>
      <c r="D922" s="9">
        <f t="shared" si="92"/>
        <v>0</v>
      </c>
      <c r="E922" s="9">
        <f t="shared" si="93"/>
        <v>0</v>
      </c>
      <c r="F922" s="8">
        <f t="shared" si="94"/>
        <v>0</v>
      </c>
      <c r="G922" s="16"/>
      <c r="H922" s="8">
        <f t="shared" si="95"/>
        <v>0</v>
      </c>
    </row>
    <row r="923" spans="2:8" x14ac:dyDescent="0.2">
      <c r="B923" s="51">
        <f t="shared" si="90"/>
        <v>0</v>
      </c>
      <c r="C923" s="8">
        <f t="shared" si="91"/>
        <v>0</v>
      </c>
      <c r="D923" s="9">
        <f t="shared" si="92"/>
        <v>0</v>
      </c>
      <c r="E923" s="9">
        <f t="shared" si="93"/>
        <v>0</v>
      </c>
      <c r="F923" s="8">
        <f t="shared" si="94"/>
        <v>0</v>
      </c>
      <c r="G923" s="16"/>
      <c r="H923" s="8">
        <f t="shared" si="95"/>
        <v>0</v>
      </c>
    </row>
    <row r="924" spans="2:8" x14ac:dyDescent="0.2">
      <c r="B924" s="51">
        <f t="shared" si="90"/>
        <v>0</v>
      </c>
      <c r="C924" s="8">
        <f t="shared" si="91"/>
        <v>0</v>
      </c>
      <c r="D924" s="9">
        <f t="shared" si="92"/>
        <v>0</v>
      </c>
      <c r="E924" s="9">
        <f t="shared" si="93"/>
        <v>0</v>
      </c>
      <c r="F924" s="8">
        <f t="shared" si="94"/>
        <v>0</v>
      </c>
      <c r="G924" s="16"/>
      <c r="H924" s="8">
        <f t="shared" si="95"/>
        <v>0</v>
      </c>
    </row>
    <row r="925" spans="2:8" x14ac:dyDescent="0.2">
      <c r="B925" s="51">
        <f t="shared" si="90"/>
        <v>0</v>
      </c>
      <c r="C925" s="8">
        <f t="shared" si="91"/>
        <v>0</v>
      </c>
      <c r="D925" s="9">
        <f t="shared" si="92"/>
        <v>0</v>
      </c>
      <c r="E925" s="9">
        <f t="shared" si="93"/>
        <v>0</v>
      </c>
      <c r="F925" s="8">
        <f t="shared" si="94"/>
        <v>0</v>
      </c>
      <c r="G925" s="16"/>
      <c r="H925" s="8">
        <f t="shared" si="95"/>
        <v>0</v>
      </c>
    </row>
    <row r="926" spans="2:8" x14ac:dyDescent="0.2">
      <c r="B926" s="51">
        <f t="shared" si="90"/>
        <v>0</v>
      </c>
      <c r="C926" s="8">
        <f t="shared" si="91"/>
        <v>0</v>
      </c>
      <c r="D926" s="9">
        <f t="shared" si="92"/>
        <v>0</v>
      </c>
      <c r="E926" s="9">
        <f t="shared" si="93"/>
        <v>0</v>
      </c>
      <c r="F926" s="8">
        <f t="shared" si="94"/>
        <v>0</v>
      </c>
      <c r="G926" s="16"/>
      <c r="H926" s="8">
        <f t="shared" si="95"/>
        <v>0</v>
      </c>
    </row>
    <row r="927" spans="2:8" x14ac:dyDescent="0.2">
      <c r="B927" s="51">
        <f t="shared" si="90"/>
        <v>0</v>
      </c>
      <c r="C927" s="8">
        <f t="shared" si="91"/>
        <v>0</v>
      </c>
      <c r="D927" s="9">
        <f t="shared" si="92"/>
        <v>0</v>
      </c>
      <c r="E927" s="9">
        <f t="shared" si="93"/>
        <v>0</v>
      </c>
      <c r="F927" s="8">
        <f t="shared" si="94"/>
        <v>0</v>
      </c>
      <c r="G927" s="16"/>
      <c r="H927" s="8">
        <f t="shared" si="95"/>
        <v>0</v>
      </c>
    </row>
    <row r="928" spans="2:8" x14ac:dyDescent="0.2">
      <c r="B928" s="51">
        <f t="shared" si="90"/>
        <v>0</v>
      </c>
      <c r="C928" s="8">
        <f t="shared" si="91"/>
        <v>0</v>
      </c>
      <c r="D928" s="9">
        <f t="shared" si="92"/>
        <v>0</v>
      </c>
      <c r="E928" s="9">
        <f t="shared" si="93"/>
        <v>0</v>
      </c>
      <c r="F928" s="8">
        <f t="shared" si="94"/>
        <v>0</v>
      </c>
      <c r="G928" s="16"/>
      <c r="H928" s="8">
        <f t="shared" si="95"/>
        <v>0</v>
      </c>
    </row>
    <row r="929" spans="2:8" x14ac:dyDescent="0.2">
      <c r="B929" s="51">
        <f t="shared" si="90"/>
        <v>0</v>
      </c>
      <c r="C929" s="8">
        <f t="shared" si="91"/>
        <v>0</v>
      </c>
      <c r="D929" s="9">
        <f t="shared" si="92"/>
        <v>0</v>
      </c>
      <c r="E929" s="9">
        <f t="shared" si="93"/>
        <v>0</v>
      </c>
      <c r="F929" s="8">
        <f t="shared" si="94"/>
        <v>0</v>
      </c>
      <c r="G929" s="16"/>
      <c r="H929" s="8">
        <f t="shared" si="95"/>
        <v>0</v>
      </c>
    </row>
    <row r="930" spans="2:8" x14ac:dyDescent="0.2">
      <c r="B930" s="51">
        <f t="shared" si="90"/>
        <v>0</v>
      </c>
      <c r="C930" s="8">
        <f t="shared" si="91"/>
        <v>0</v>
      </c>
      <c r="D930" s="9">
        <f t="shared" si="92"/>
        <v>0</v>
      </c>
      <c r="E930" s="9">
        <f t="shared" si="93"/>
        <v>0</v>
      </c>
      <c r="F930" s="8">
        <f t="shared" si="94"/>
        <v>0</v>
      </c>
      <c r="G930" s="16"/>
      <c r="H930" s="8">
        <f t="shared" si="95"/>
        <v>0</v>
      </c>
    </row>
    <row r="931" spans="2:8" x14ac:dyDescent="0.2">
      <c r="B931" s="51">
        <f t="shared" si="90"/>
        <v>0</v>
      </c>
      <c r="C931" s="8">
        <f t="shared" si="91"/>
        <v>0</v>
      </c>
      <c r="D931" s="9">
        <f t="shared" si="92"/>
        <v>0</v>
      </c>
      <c r="E931" s="9">
        <f t="shared" si="93"/>
        <v>0</v>
      </c>
      <c r="F931" s="8">
        <f t="shared" si="94"/>
        <v>0</v>
      </c>
      <c r="G931" s="16"/>
      <c r="H931" s="8">
        <f t="shared" si="95"/>
        <v>0</v>
      </c>
    </row>
    <row r="932" spans="2:8" x14ac:dyDescent="0.2">
      <c r="B932" s="51">
        <f t="shared" si="90"/>
        <v>0</v>
      </c>
      <c r="C932" s="8">
        <f t="shared" si="91"/>
        <v>0</v>
      </c>
      <c r="D932" s="9">
        <f t="shared" si="92"/>
        <v>0</v>
      </c>
      <c r="E932" s="9">
        <f t="shared" si="93"/>
        <v>0</v>
      </c>
      <c r="F932" s="8">
        <f t="shared" si="94"/>
        <v>0</v>
      </c>
      <c r="G932" s="16"/>
      <c r="H932" s="8">
        <f t="shared" si="95"/>
        <v>0</v>
      </c>
    </row>
    <row r="933" spans="2:8" x14ac:dyDescent="0.2">
      <c r="B933" s="51">
        <f t="shared" si="90"/>
        <v>0</v>
      </c>
      <c r="C933" s="8">
        <f t="shared" si="91"/>
        <v>0</v>
      </c>
      <c r="D933" s="9">
        <f t="shared" si="92"/>
        <v>0</v>
      </c>
      <c r="E933" s="9">
        <f t="shared" si="93"/>
        <v>0</v>
      </c>
      <c r="F933" s="8">
        <f t="shared" si="94"/>
        <v>0</v>
      </c>
      <c r="G933" s="16"/>
      <c r="H933" s="8">
        <f t="shared" si="95"/>
        <v>0</v>
      </c>
    </row>
    <row r="934" spans="2:8" x14ac:dyDescent="0.2">
      <c r="B934" s="51">
        <f t="shared" si="90"/>
        <v>0</v>
      </c>
      <c r="C934" s="8">
        <f t="shared" si="91"/>
        <v>0</v>
      </c>
      <c r="D934" s="9">
        <f t="shared" si="92"/>
        <v>0</v>
      </c>
      <c r="E934" s="9">
        <f t="shared" si="93"/>
        <v>0</v>
      </c>
      <c r="F934" s="8">
        <f t="shared" si="94"/>
        <v>0</v>
      </c>
      <c r="G934" s="16"/>
      <c r="H934" s="8">
        <f t="shared" si="95"/>
        <v>0</v>
      </c>
    </row>
    <row r="935" spans="2:8" x14ac:dyDescent="0.2">
      <c r="B935" s="51">
        <f t="shared" si="90"/>
        <v>0</v>
      </c>
      <c r="C935" s="8">
        <f t="shared" si="91"/>
        <v>0</v>
      </c>
      <c r="D935" s="9">
        <f t="shared" si="92"/>
        <v>0</v>
      </c>
      <c r="E935" s="9">
        <f t="shared" si="93"/>
        <v>0</v>
      </c>
      <c r="F935" s="8">
        <f t="shared" si="94"/>
        <v>0</v>
      </c>
      <c r="G935" s="16"/>
      <c r="H935" s="8">
        <f t="shared" si="95"/>
        <v>0</v>
      </c>
    </row>
    <row r="936" spans="2:8" x14ac:dyDescent="0.2">
      <c r="B936" s="51">
        <f t="shared" si="90"/>
        <v>0</v>
      </c>
      <c r="C936" s="8">
        <f t="shared" si="91"/>
        <v>0</v>
      </c>
      <c r="D936" s="9">
        <f t="shared" si="92"/>
        <v>0</v>
      </c>
      <c r="E936" s="9">
        <f t="shared" si="93"/>
        <v>0</v>
      </c>
      <c r="F936" s="8">
        <f t="shared" si="94"/>
        <v>0</v>
      </c>
      <c r="G936" s="16"/>
      <c r="H936" s="8">
        <f t="shared" si="95"/>
        <v>0</v>
      </c>
    </row>
    <row r="937" spans="2:8" x14ac:dyDescent="0.2">
      <c r="B937" s="51">
        <f t="shared" si="90"/>
        <v>0</v>
      </c>
      <c r="C937" s="8">
        <f t="shared" si="91"/>
        <v>0</v>
      </c>
      <c r="D937" s="9">
        <f t="shared" si="92"/>
        <v>0</v>
      </c>
      <c r="E937" s="9">
        <f t="shared" si="93"/>
        <v>0</v>
      </c>
      <c r="F937" s="8">
        <f t="shared" si="94"/>
        <v>0</v>
      </c>
      <c r="G937" s="16"/>
      <c r="H937" s="8">
        <f t="shared" si="95"/>
        <v>0</v>
      </c>
    </row>
    <row r="938" spans="2:8" x14ac:dyDescent="0.2">
      <c r="B938" s="51">
        <f t="shared" si="90"/>
        <v>0</v>
      </c>
      <c r="C938" s="8">
        <f t="shared" si="91"/>
        <v>0</v>
      </c>
      <c r="D938" s="9">
        <f t="shared" si="92"/>
        <v>0</v>
      </c>
      <c r="E938" s="9">
        <f t="shared" si="93"/>
        <v>0</v>
      </c>
      <c r="F938" s="8">
        <f t="shared" si="94"/>
        <v>0</v>
      </c>
      <c r="G938" s="16"/>
      <c r="H938" s="8">
        <f t="shared" si="95"/>
        <v>0</v>
      </c>
    </row>
    <row r="939" spans="2:8" x14ac:dyDescent="0.2">
      <c r="B939" s="51">
        <f t="shared" si="90"/>
        <v>0</v>
      </c>
      <c r="C939" s="8">
        <f t="shared" si="91"/>
        <v>0</v>
      </c>
      <c r="D939" s="9">
        <f t="shared" si="92"/>
        <v>0</v>
      </c>
      <c r="E939" s="9">
        <f t="shared" si="93"/>
        <v>0</v>
      </c>
      <c r="F939" s="8">
        <f t="shared" si="94"/>
        <v>0</v>
      </c>
      <c r="G939" s="16"/>
      <c r="H939" s="8">
        <f t="shared" si="95"/>
        <v>0</v>
      </c>
    </row>
    <row r="940" spans="2:8" x14ac:dyDescent="0.2">
      <c r="B940" s="51">
        <f t="shared" si="90"/>
        <v>0</v>
      </c>
      <c r="C940" s="8">
        <f t="shared" si="91"/>
        <v>0</v>
      </c>
      <c r="D940" s="9">
        <f t="shared" si="92"/>
        <v>0</v>
      </c>
      <c r="E940" s="9">
        <f t="shared" si="93"/>
        <v>0</v>
      </c>
      <c r="F940" s="8">
        <f t="shared" si="94"/>
        <v>0</v>
      </c>
      <c r="G940" s="16"/>
      <c r="H940" s="8">
        <f t="shared" si="95"/>
        <v>0</v>
      </c>
    </row>
    <row r="941" spans="2:8" x14ac:dyDescent="0.2">
      <c r="B941" s="51">
        <f t="shared" si="90"/>
        <v>0</v>
      </c>
      <c r="C941" s="8">
        <f t="shared" si="91"/>
        <v>0</v>
      </c>
      <c r="D941" s="9">
        <f t="shared" si="92"/>
        <v>0</v>
      </c>
      <c r="E941" s="9">
        <f t="shared" si="93"/>
        <v>0</v>
      </c>
      <c r="F941" s="8">
        <f t="shared" si="94"/>
        <v>0</v>
      </c>
      <c r="G941" s="16"/>
      <c r="H941" s="8">
        <f t="shared" si="95"/>
        <v>0</v>
      </c>
    </row>
    <row r="942" spans="2:8" x14ac:dyDescent="0.2">
      <c r="B942" s="51">
        <f t="shared" si="90"/>
        <v>0</v>
      </c>
      <c r="C942" s="8">
        <f t="shared" si="91"/>
        <v>0</v>
      </c>
      <c r="D942" s="9">
        <f t="shared" si="92"/>
        <v>0</v>
      </c>
      <c r="E942" s="9">
        <f t="shared" si="93"/>
        <v>0</v>
      </c>
      <c r="F942" s="8">
        <f t="shared" si="94"/>
        <v>0</v>
      </c>
      <c r="G942" s="16"/>
      <c r="H942" s="8">
        <f t="shared" si="95"/>
        <v>0</v>
      </c>
    </row>
    <row r="943" spans="2:8" x14ac:dyDescent="0.2">
      <c r="B943" s="51">
        <f t="shared" si="90"/>
        <v>0</v>
      </c>
      <c r="C943" s="8">
        <f t="shared" si="91"/>
        <v>0</v>
      </c>
      <c r="D943" s="9">
        <f t="shared" si="92"/>
        <v>0</v>
      </c>
      <c r="E943" s="9">
        <f t="shared" si="93"/>
        <v>0</v>
      </c>
      <c r="F943" s="8">
        <f t="shared" si="94"/>
        <v>0</v>
      </c>
      <c r="G943" s="16"/>
      <c r="H943" s="8">
        <f t="shared" si="95"/>
        <v>0</v>
      </c>
    </row>
    <row r="944" spans="2:8" x14ac:dyDescent="0.2">
      <c r="B944" s="51">
        <f t="shared" si="90"/>
        <v>0</v>
      </c>
      <c r="C944" s="8">
        <f t="shared" si="91"/>
        <v>0</v>
      </c>
      <c r="D944" s="9">
        <f t="shared" si="92"/>
        <v>0</v>
      </c>
      <c r="E944" s="9">
        <f t="shared" si="93"/>
        <v>0</v>
      </c>
      <c r="F944" s="8">
        <f t="shared" si="94"/>
        <v>0</v>
      </c>
      <c r="G944" s="16"/>
      <c r="H944" s="8">
        <f t="shared" si="95"/>
        <v>0</v>
      </c>
    </row>
    <row r="945" spans="2:8" x14ac:dyDescent="0.2">
      <c r="B945" s="51">
        <f t="shared" si="90"/>
        <v>0</v>
      </c>
      <c r="C945" s="8">
        <f t="shared" si="91"/>
        <v>0</v>
      </c>
      <c r="D945" s="9">
        <f t="shared" si="92"/>
        <v>0</v>
      </c>
      <c r="E945" s="9">
        <f t="shared" si="93"/>
        <v>0</v>
      </c>
      <c r="F945" s="8">
        <f t="shared" si="94"/>
        <v>0</v>
      </c>
      <c r="G945" s="16"/>
      <c r="H945" s="8">
        <f t="shared" si="95"/>
        <v>0</v>
      </c>
    </row>
    <row r="946" spans="2:8" x14ac:dyDescent="0.2">
      <c r="B946" s="51">
        <f t="shared" si="90"/>
        <v>0</v>
      </c>
      <c r="C946" s="8">
        <f t="shared" si="91"/>
        <v>0</v>
      </c>
      <c r="D946" s="9">
        <f t="shared" si="92"/>
        <v>0</v>
      </c>
      <c r="E946" s="9">
        <f t="shared" si="93"/>
        <v>0</v>
      </c>
      <c r="F946" s="8">
        <f t="shared" si="94"/>
        <v>0</v>
      </c>
      <c r="G946" s="16"/>
      <c r="H946" s="8">
        <f t="shared" si="95"/>
        <v>0</v>
      </c>
    </row>
    <row r="947" spans="2:8" x14ac:dyDescent="0.2">
      <c r="B947" s="51">
        <f t="shared" ref="B947:B1010" si="96">IF(AND(B946&gt;0,B946&lt;E$8),B946+1,0)</f>
        <v>0</v>
      </c>
      <c r="C947" s="8">
        <f t="shared" ref="C947:C1010" si="97">IF(B947&gt;0,H946,0)</f>
        <v>0</v>
      </c>
      <c r="D947" s="9">
        <f t="shared" ref="D947:D1010" si="98">IF(B947&gt;0,C947*$F$8,0)</f>
        <v>0</v>
      </c>
      <c r="E947" s="9">
        <f t="shared" ref="E947:E1010" si="99">IF(B947&gt;0,C947+D947,0)</f>
        <v>0</v>
      </c>
      <c r="F947" s="8">
        <f t="shared" ref="F947:F1010" si="100">IF(B947&gt;0,$D$8,0)</f>
        <v>0</v>
      </c>
      <c r="G947" s="16"/>
      <c r="H947" s="8">
        <f t="shared" ref="H947:H1010" si="101">IF(B947&gt;0,E947+F947+G947,0)</f>
        <v>0</v>
      </c>
    </row>
    <row r="948" spans="2:8" x14ac:dyDescent="0.2">
      <c r="B948" s="51">
        <f t="shared" si="96"/>
        <v>0</v>
      </c>
      <c r="C948" s="8">
        <f t="shared" si="97"/>
        <v>0</v>
      </c>
      <c r="D948" s="9">
        <f t="shared" si="98"/>
        <v>0</v>
      </c>
      <c r="E948" s="9">
        <f t="shared" si="99"/>
        <v>0</v>
      </c>
      <c r="F948" s="8">
        <f t="shared" si="100"/>
        <v>0</v>
      </c>
      <c r="G948" s="16"/>
      <c r="H948" s="8">
        <f t="shared" si="101"/>
        <v>0</v>
      </c>
    </row>
    <row r="949" spans="2:8" x14ac:dyDescent="0.2">
      <c r="B949" s="51">
        <f t="shared" si="96"/>
        <v>0</v>
      </c>
      <c r="C949" s="8">
        <f t="shared" si="97"/>
        <v>0</v>
      </c>
      <c r="D949" s="9">
        <f t="shared" si="98"/>
        <v>0</v>
      </c>
      <c r="E949" s="9">
        <f t="shared" si="99"/>
        <v>0</v>
      </c>
      <c r="F949" s="8">
        <f t="shared" si="100"/>
        <v>0</v>
      </c>
      <c r="G949" s="16"/>
      <c r="H949" s="8">
        <f t="shared" si="101"/>
        <v>0</v>
      </c>
    </row>
    <row r="950" spans="2:8" x14ac:dyDescent="0.2">
      <c r="B950" s="51">
        <f t="shared" si="96"/>
        <v>0</v>
      </c>
      <c r="C950" s="8">
        <f t="shared" si="97"/>
        <v>0</v>
      </c>
      <c r="D950" s="9">
        <f t="shared" si="98"/>
        <v>0</v>
      </c>
      <c r="E950" s="9">
        <f t="shared" si="99"/>
        <v>0</v>
      </c>
      <c r="F950" s="8">
        <f t="shared" si="100"/>
        <v>0</v>
      </c>
      <c r="G950" s="16"/>
      <c r="H950" s="8">
        <f t="shared" si="101"/>
        <v>0</v>
      </c>
    </row>
    <row r="951" spans="2:8" x14ac:dyDescent="0.2">
      <c r="B951" s="51">
        <f t="shared" si="96"/>
        <v>0</v>
      </c>
      <c r="C951" s="8">
        <f t="shared" si="97"/>
        <v>0</v>
      </c>
      <c r="D951" s="9">
        <f t="shared" si="98"/>
        <v>0</v>
      </c>
      <c r="E951" s="9">
        <f t="shared" si="99"/>
        <v>0</v>
      </c>
      <c r="F951" s="8">
        <f t="shared" si="100"/>
        <v>0</v>
      </c>
      <c r="G951" s="16"/>
      <c r="H951" s="8">
        <f t="shared" si="101"/>
        <v>0</v>
      </c>
    </row>
    <row r="952" spans="2:8" x14ac:dyDescent="0.2">
      <c r="B952" s="51">
        <f t="shared" si="96"/>
        <v>0</v>
      </c>
      <c r="C952" s="8">
        <f t="shared" si="97"/>
        <v>0</v>
      </c>
      <c r="D952" s="9">
        <f t="shared" si="98"/>
        <v>0</v>
      </c>
      <c r="E952" s="9">
        <f t="shared" si="99"/>
        <v>0</v>
      </c>
      <c r="F952" s="8">
        <f t="shared" si="100"/>
        <v>0</v>
      </c>
      <c r="G952" s="16"/>
      <c r="H952" s="8">
        <f t="shared" si="101"/>
        <v>0</v>
      </c>
    </row>
    <row r="953" spans="2:8" x14ac:dyDescent="0.2">
      <c r="B953" s="51">
        <f t="shared" si="96"/>
        <v>0</v>
      </c>
      <c r="C953" s="8">
        <f t="shared" si="97"/>
        <v>0</v>
      </c>
      <c r="D953" s="9">
        <f t="shared" si="98"/>
        <v>0</v>
      </c>
      <c r="E953" s="9">
        <f t="shared" si="99"/>
        <v>0</v>
      </c>
      <c r="F953" s="8">
        <f t="shared" si="100"/>
        <v>0</v>
      </c>
      <c r="G953" s="16"/>
      <c r="H953" s="8">
        <f t="shared" si="101"/>
        <v>0</v>
      </c>
    </row>
    <row r="954" spans="2:8" x14ac:dyDescent="0.2">
      <c r="B954" s="51">
        <f t="shared" si="96"/>
        <v>0</v>
      </c>
      <c r="C954" s="8">
        <f t="shared" si="97"/>
        <v>0</v>
      </c>
      <c r="D954" s="9">
        <f t="shared" si="98"/>
        <v>0</v>
      </c>
      <c r="E954" s="9">
        <f t="shared" si="99"/>
        <v>0</v>
      </c>
      <c r="F954" s="8">
        <f t="shared" si="100"/>
        <v>0</v>
      </c>
      <c r="G954" s="16"/>
      <c r="H954" s="8">
        <f t="shared" si="101"/>
        <v>0</v>
      </c>
    </row>
    <row r="955" spans="2:8" x14ac:dyDescent="0.2">
      <c r="B955" s="51">
        <f t="shared" si="96"/>
        <v>0</v>
      </c>
      <c r="C955" s="8">
        <f t="shared" si="97"/>
        <v>0</v>
      </c>
      <c r="D955" s="9">
        <f t="shared" si="98"/>
        <v>0</v>
      </c>
      <c r="E955" s="9">
        <f t="shared" si="99"/>
        <v>0</v>
      </c>
      <c r="F955" s="8">
        <f t="shared" si="100"/>
        <v>0</v>
      </c>
      <c r="G955" s="16"/>
      <c r="H955" s="8">
        <f t="shared" si="101"/>
        <v>0</v>
      </c>
    </row>
    <row r="956" spans="2:8" x14ac:dyDescent="0.2">
      <c r="B956" s="51">
        <f t="shared" si="96"/>
        <v>0</v>
      </c>
      <c r="C956" s="8">
        <f t="shared" si="97"/>
        <v>0</v>
      </c>
      <c r="D956" s="9">
        <f t="shared" si="98"/>
        <v>0</v>
      </c>
      <c r="E956" s="9">
        <f t="shared" si="99"/>
        <v>0</v>
      </c>
      <c r="F956" s="8">
        <f t="shared" si="100"/>
        <v>0</v>
      </c>
      <c r="G956" s="16"/>
      <c r="H956" s="8">
        <f t="shared" si="101"/>
        <v>0</v>
      </c>
    </row>
    <row r="957" spans="2:8" x14ac:dyDescent="0.2">
      <c r="B957" s="51">
        <f t="shared" si="96"/>
        <v>0</v>
      </c>
      <c r="C957" s="8">
        <f t="shared" si="97"/>
        <v>0</v>
      </c>
      <c r="D957" s="9">
        <f t="shared" si="98"/>
        <v>0</v>
      </c>
      <c r="E957" s="9">
        <f t="shared" si="99"/>
        <v>0</v>
      </c>
      <c r="F957" s="8">
        <f t="shared" si="100"/>
        <v>0</v>
      </c>
      <c r="G957" s="16"/>
      <c r="H957" s="8">
        <f t="shared" si="101"/>
        <v>0</v>
      </c>
    </row>
    <row r="958" spans="2:8" x14ac:dyDescent="0.2">
      <c r="B958" s="51">
        <f t="shared" si="96"/>
        <v>0</v>
      </c>
      <c r="C958" s="8">
        <f t="shared" si="97"/>
        <v>0</v>
      </c>
      <c r="D958" s="9">
        <f t="shared" si="98"/>
        <v>0</v>
      </c>
      <c r="E958" s="9">
        <f t="shared" si="99"/>
        <v>0</v>
      </c>
      <c r="F958" s="8">
        <f t="shared" si="100"/>
        <v>0</v>
      </c>
      <c r="G958" s="16"/>
      <c r="H958" s="8">
        <f t="shared" si="101"/>
        <v>0</v>
      </c>
    </row>
    <row r="959" spans="2:8" x14ac:dyDescent="0.2">
      <c r="B959" s="51">
        <f t="shared" si="96"/>
        <v>0</v>
      </c>
      <c r="C959" s="8">
        <f t="shared" si="97"/>
        <v>0</v>
      </c>
      <c r="D959" s="9">
        <f t="shared" si="98"/>
        <v>0</v>
      </c>
      <c r="E959" s="9">
        <f t="shared" si="99"/>
        <v>0</v>
      </c>
      <c r="F959" s="8">
        <f t="shared" si="100"/>
        <v>0</v>
      </c>
      <c r="G959" s="16"/>
      <c r="H959" s="8">
        <f t="shared" si="101"/>
        <v>0</v>
      </c>
    </row>
    <row r="960" spans="2:8" x14ac:dyDescent="0.2">
      <c r="B960" s="51">
        <f t="shared" si="96"/>
        <v>0</v>
      </c>
      <c r="C960" s="8">
        <f t="shared" si="97"/>
        <v>0</v>
      </c>
      <c r="D960" s="9">
        <f t="shared" si="98"/>
        <v>0</v>
      </c>
      <c r="E960" s="9">
        <f t="shared" si="99"/>
        <v>0</v>
      </c>
      <c r="F960" s="8">
        <f t="shared" si="100"/>
        <v>0</v>
      </c>
      <c r="G960" s="16"/>
      <c r="H960" s="8">
        <f t="shared" si="101"/>
        <v>0</v>
      </c>
    </row>
    <row r="961" spans="2:8" x14ac:dyDescent="0.2">
      <c r="B961" s="51">
        <f t="shared" si="96"/>
        <v>0</v>
      </c>
      <c r="C961" s="8">
        <f t="shared" si="97"/>
        <v>0</v>
      </c>
      <c r="D961" s="9">
        <f t="shared" si="98"/>
        <v>0</v>
      </c>
      <c r="E961" s="9">
        <f t="shared" si="99"/>
        <v>0</v>
      </c>
      <c r="F961" s="8">
        <f t="shared" si="100"/>
        <v>0</v>
      </c>
      <c r="G961" s="16"/>
      <c r="H961" s="8">
        <f t="shared" si="101"/>
        <v>0</v>
      </c>
    </row>
    <row r="962" spans="2:8" x14ac:dyDescent="0.2">
      <c r="B962" s="51">
        <f t="shared" si="96"/>
        <v>0</v>
      </c>
      <c r="C962" s="8">
        <f t="shared" si="97"/>
        <v>0</v>
      </c>
      <c r="D962" s="9">
        <f t="shared" si="98"/>
        <v>0</v>
      </c>
      <c r="E962" s="9">
        <f t="shared" si="99"/>
        <v>0</v>
      </c>
      <c r="F962" s="8">
        <f t="shared" si="100"/>
        <v>0</v>
      </c>
      <c r="G962" s="16"/>
      <c r="H962" s="8">
        <f t="shared" si="101"/>
        <v>0</v>
      </c>
    </row>
    <row r="963" spans="2:8" x14ac:dyDescent="0.2">
      <c r="B963" s="51">
        <f t="shared" si="96"/>
        <v>0</v>
      </c>
      <c r="C963" s="8">
        <f t="shared" si="97"/>
        <v>0</v>
      </c>
      <c r="D963" s="9">
        <f t="shared" si="98"/>
        <v>0</v>
      </c>
      <c r="E963" s="9">
        <f t="shared" si="99"/>
        <v>0</v>
      </c>
      <c r="F963" s="8">
        <f t="shared" si="100"/>
        <v>0</v>
      </c>
      <c r="G963" s="16"/>
      <c r="H963" s="8">
        <f t="shared" si="101"/>
        <v>0</v>
      </c>
    </row>
    <row r="964" spans="2:8" x14ac:dyDescent="0.2">
      <c r="B964" s="51">
        <f t="shared" si="96"/>
        <v>0</v>
      </c>
      <c r="C964" s="8">
        <f t="shared" si="97"/>
        <v>0</v>
      </c>
      <c r="D964" s="9">
        <f t="shared" si="98"/>
        <v>0</v>
      </c>
      <c r="E964" s="9">
        <f t="shared" si="99"/>
        <v>0</v>
      </c>
      <c r="F964" s="8">
        <f t="shared" si="100"/>
        <v>0</v>
      </c>
      <c r="G964" s="16"/>
      <c r="H964" s="8">
        <f t="shared" si="101"/>
        <v>0</v>
      </c>
    </row>
    <row r="965" spans="2:8" x14ac:dyDescent="0.2">
      <c r="B965" s="51">
        <f t="shared" si="96"/>
        <v>0</v>
      </c>
      <c r="C965" s="8">
        <f t="shared" si="97"/>
        <v>0</v>
      </c>
      <c r="D965" s="9">
        <f t="shared" si="98"/>
        <v>0</v>
      </c>
      <c r="E965" s="9">
        <f t="shared" si="99"/>
        <v>0</v>
      </c>
      <c r="F965" s="8">
        <f t="shared" si="100"/>
        <v>0</v>
      </c>
      <c r="G965" s="16"/>
      <c r="H965" s="8">
        <f t="shared" si="101"/>
        <v>0</v>
      </c>
    </row>
    <row r="966" spans="2:8" x14ac:dyDescent="0.2">
      <c r="B966" s="51">
        <f t="shared" si="96"/>
        <v>0</v>
      </c>
      <c r="C966" s="8">
        <f t="shared" si="97"/>
        <v>0</v>
      </c>
      <c r="D966" s="9">
        <f t="shared" si="98"/>
        <v>0</v>
      </c>
      <c r="E966" s="9">
        <f t="shared" si="99"/>
        <v>0</v>
      </c>
      <c r="F966" s="8">
        <f t="shared" si="100"/>
        <v>0</v>
      </c>
      <c r="G966" s="16"/>
      <c r="H966" s="8">
        <f t="shared" si="101"/>
        <v>0</v>
      </c>
    </row>
    <row r="967" spans="2:8" x14ac:dyDescent="0.2">
      <c r="B967" s="51">
        <f t="shared" si="96"/>
        <v>0</v>
      </c>
      <c r="C967" s="8">
        <f t="shared" si="97"/>
        <v>0</v>
      </c>
      <c r="D967" s="9">
        <f t="shared" si="98"/>
        <v>0</v>
      </c>
      <c r="E967" s="9">
        <f t="shared" si="99"/>
        <v>0</v>
      </c>
      <c r="F967" s="8">
        <f t="shared" si="100"/>
        <v>0</v>
      </c>
      <c r="G967" s="16"/>
      <c r="H967" s="8">
        <f t="shared" si="101"/>
        <v>0</v>
      </c>
    </row>
    <row r="968" spans="2:8" x14ac:dyDescent="0.2">
      <c r="B968" s="51">
        <f t="shared" si="96"/>
        <v>0</v>
      </c>
      <c r="C968" s="8">
        <f t="shared" si="97"/>
        <v>0</v>
      </c>
      <c r="D968" s="9">
        <f t="shared" si="98"/>
        <v>0</v>
      </c>
      <c r="E968" s="9">
        <f t="shared" si="99"/>
        <v>0</v>
      </c>
      <c r="F968" s="8">
        <f t="shared" si="100"/>
        <v>0</v>
      </c>
      <c r="G968" s="16"/>
      <c r="H968" s="8">
        <f t="shared" si="101"/>
        <v>0</v>
      </c>
    </row>
    <row r="969" spans="2:8" x14ac:dyDescent="0.2">
      <c r="B969" s="51">
        <f t="shared" si="96"/>
        <v>0</v>
      </c>
      <c r="C969" s="8">
        <f t="shared" si="97"/>
        <v>0</v>
      </c>
      <c r="D969" s="9">
        <f t="shared" si="98"/>
        <v>0</v>
      </c>
      <c r="E969" s="9">
        <f t="shared" si="99"/>
        <v>0</v>
      </c>
      <c r="F969" s="8">
        <f t="shared" si="100"/>
        <v>0</v>
      </c>
      <c r="G969" s="16"/>
      <c r="H969" s="8">
        <f t="shared" si="101"/>
        <v>0</v>
      </c>
    </row>
    <row r="970" spans="2:8" x14ac:dyDescent="0.2">
      <c r="B970" s="51">
        <f t="shared" si="96"/>
        <v>0</v>
      </c>
      <c r="C970" s="8">
        <f t="shared" si="97"/>
        <v>0</v>
      </c>
      <c r="D970" s="9">
        <f t="shared" si="98"/>
        <v>0</v>
      </c>
      <c r="E970" s="9">
        <f t="shared" si="99"/>
        <v>0</v>
      </c>
      <c r="F970" s="8">
        <f t="shared" si="100"/>
        <v>0</v>
      </c>
      <c r="G970" s="16"/>
      <c r="H970" s="8">
        <f t="shared" si="101"/>
        <v>0</v>
      </c>
    </row>
    <row r="971" spans="2:8" x14ac:dyDescent="0.2">
      <c r="B971" s="51">
        <f t="shared" si="96"/>
        <v>0</v>
      </c>
      <c r="C971" s="8">
        <f t="shared" si="97"/>
        <v>0</v>
      </c>
      <c r="D971" s="9">
        <f t="shared" si="98"/>
        <v>0</v>
      </c>
      <c r="E971" s="9">
        <f t="shared" si="99"/>
        <v>0</v>
      </c>
      <c r="F971" s="8">
        <f t="shared" si="100"/>
        <v>0</v>
      </c>
      <c r="G971" s="16"/>
      <c r="H971" s="8">
        <f t="shared" si="101"/>
        <v>0</v>
      </c>
    </row>
    <row r="972" spans="2:8" x14ac:dyDescent="0.2">
      <c r="B972" s="51">
        <f t="shared" si="96"/>
        <v>0</v>
      </c>
      <c r="C972" s="8">
        <f t="shared" si="97"/>
        <v>0</v>
      </c>
      <c r="D972" s="9">
        <f t="shared" si="98"/>
        <v>0</v>
      </c>
      <c r="E972" s="9">
        <f t="shared" si="99"/>
        <v>0</v>
      </c>
      <c r="F972" s="8">
        <f t="shared" si="100"/>
        <v>0</v>
      </c>
      <c r="G972" s="16"/>
      <c r="H972" s="8">
        <f t="shared" si="101"/>
        <v>0</v>
      </c>
    </row>
    <row r="973" spans="2:8" x14ac:dyDescent="0.2">
      <c r="B973" s="51">
        <f t="shared" si="96"/>
        <v>0</v>
      </c>
      <c r="C973" s="8">
        <f t="shared" si="97"/>
        <v>0</v>
      </c>
      <c r="D973" s="9">
        <f t="shared" si="98"/>
        <v>0</v>
      </c>
      <c r="E973" s="9">
        <f t="shared" si="99"/>
        <v>0</v>
      </c>
      <c r="F973" s="8">
        <f t="shared" si="100"/>
        <v>0</v>
      </c>
      <c r="G973" s="16"/>
      <c r="H973" s="8">
        <f t="shared" si="101"/>
        <v>0</v>
      </c>
    </row>
    <row r="974" spans="2:8" x14ac:dyDescent="0.2">
      <c r="B974" s="51">
        <f t="shared" si="96"/>
        <v>0</v>
      </c>
      <c r="C974" s="8">
        <f t="shared" si="97"/>
        <v>0</v>
      </c>
      <c r="D974" s="9">
        <f t="shared" si="98"/>
        <v>0</v>
      </c>
      <c r="E974" s="9">
        <f t="shared" si="99"/>
        <v>0</v>
      </c>
      <c r="F974" s="8">
        <f t="shared" si="100"/>
        <v>0</v>
      </c>
      <c r="G974" s="16"/>
      <c r="H974" s="8">
        <f t="shared" si="101"/>
        <v>0</v>
      </c>
    </row>
    <row r="975" spans="2:8" x14ac:dyDescent="0.2">
      <c r="B975" s="51">
        <f t="shared" si="96"/>
        <v>0</v>
      </c>
      <c r="C975" s="8">
        <f t="shared" si="97"/>
        <v>0</v>
      </c>
      <c r="D975" s="9">
        <f t="shared" si="98"/>
        <v>0</v>
      </c>
      <c r="E975" s="9">
        <f t="shared" si="99"/>
        <v>0</v>
      </c>
      <c r="F975" s="8">
        <f t="shared" si="100"/>
        <v>0</v>
      </c>
      <c r="G975" s="16"/>
      <c r="H975" s="8">
        <f t="shared" si="101"/>
        <v>0</v>
      </c>
    </row>
    <row r="976" spans="2:8" x14ac:dyDescent="0.2">
      <c r="B976" s="51">
        <f t="shared" si="96"/>
        <v>0</v>
      </c>
      <c r="C976" s="8">
        <f t="shared" si="97"/>
        <v>0</v>
      </c>
      <c r="D976" s="9">
        <f t="shared" si="98"/>
        <v>0</v>
      </c>
      <c r="E976" s="9">
        <f t="shared" si="99"/>
        <v>0</v>
      </c>
      <c r="F976" s="8">
        <f t="shared" si="100"/>
        <v>0</v>
      </c>
      <c r="G976" s="16"/>
      <c r="H976" s="8">
        <f t="shared" si="101"/>
        <v>0</v>
      </c>
    </row>
    <row r="977" spans="2:8" x14ac:dyDescent="0.2">
      <c r="B977" s="51">
        <f t="shared" si="96"/>
        <v>0</v>
      </c>
      <c r="C977" s="8">
        <f t="shared" si="97"/>
        <v>0</v>
      </c>
      <c r="D977" s="9">
        <f t="shared" si="98"/>
        <v>0</v>
      </c>
      <c r="E977" s="9">
        <f t="shared" si="99"/>
        <v>0</v>
      </c>
      <c r="F977" s="8">
        <f t="shared" si="100"/>
        <v>0</v>
      </c>
      <c r="G977" s="16"/>
      <c r="H977" s="8">
        <f t="shared" si="101"/>
        <v>0</v>
      </c>
    </row>
    <row r="978" spans="2:8" x14ac:dyDescent="0.2">
      <c r="B978" s="51">
        <f t="shared" si="96"/>
        <v>0</v>
      </c>
      <c r="C978" s="8">
        <f t="shared" si="97"/>
        <v>0</v>
      </c>
      <c r="D978" s="9">
        <f t="shared" si="98"/>
        <v>0</v>
      </c>
      <c r="E978" s="9">
        <f t="shared" si="99"/>
        <v>0</v>
      </c>
      <c r="F978" s="8">
        <f t="shared" si="100"/>
        <v>0</v>
      </c>
      <c r="G978" s="16"/>
      <c r="H978" s="8">
        <f t="shared" si="101"/>
        <v>0</v>
      </c>
    </row>
    <row r="979" spans="2:8" x14ac:dyDescent="0.2">
      <c r="B979" s="51">
        <f t="shared" si="96"/>
        <v>0</v>
      </c>
      <c r="C979" s="8">
        <f t="shared" si="97"/>
        <v>0</v>
      </c>
      <c r="D979" s="9">
        <f t="shared" si="98"/>
        <v>0</v>
      </c>
      <c r="E979" s="9">
        <f t="shared" si="99"/>
        <v>0</v>
      </c>
      <c r="F979" s="8">
        <f t="shared" si="100"/>
        <v>0</v>
      </c>
      <c r="G979" s="16"/>
      <c r="H979" s="8">
        <f t="shared" si="101"/>
        <v>0</v>
      </c>
    </row>
    <row r="980" spans="2:8" x14ac:dyDescent="0.2">
      <c r="B980" s="51">
        <f t="shared" si="96"/>
        <v>0</v>
      </c>
      <c r="C980" s="8">
        <f t="shared" si="97"/>
        <v>0</v>
      </c>
      <c r="D980" s="9">
        <f t="shared" si="98"/>
        <v>0</v>
      </c>
      <c r="E980" s="9">
        <f t="shared" si="99"/>
        <v>0</v>
      </c>
      <c r="F980" s="8">
        <f t="shared" si="100"/>
        <v>0</v>
      </c>
      <c r="G980" s="16"/>
      <c r="H980" s="8">
        <f t="shared" si="101"/>
        <v>0</v>
      </c>
    </row>
    <row r="981" spans="2:8" x14ac:dyDescent="0.2">
      <c r="B981" s="51">
        <f t="shared" si="96"/>
        <v>0</v>
      </c>
      <c r="C981" s="8">
        <f t="shared" si="97"/>
        <v>0</v>
      </c>
      <c r="D981" s="9">
        <f t="shared" si="98"/>
        <v>0</v>
      </c>
      <c r="E981" s="9">
        <f t="shared" si="99"/>
        <v>0</v>
      </c>
      <c r="F981" s="8">
        <f t="shared" si="100"/>
        <v>0</v>
      </c>
      <c r="G981" s="16"/>
      <c r="H981" s="8">
        <f t="shared" si="101"/>
        <v>0</v>
      </c>
    </row>
    <row r="982" spans="2:8" x14ac:dyDescent="0.2">
      <c r="B982" s="51">
        <f t="shared" si="96"/>
        <v>0</v>
      </c>
      <c r="C982" s="8">
        <f t="shared" si="97"/>
        <v>0</v>
      </c>
      <c r="D982" s="9">
        <f t="shared" si="98"/>
        <v>0</v>
      </c>
      <c r="E982" s="9">
        <f t="shared" si="99"/>
        <v>0</v>
      </c>
      <c r="F982" s="8">
        <f t="shared" si="100"/>
        <v>0</v>
      </c>
      <c r="G982" s="16"/>
      <c r="H982" s="8">
        <f t="shared" si="101"/>
        <v>0</v>
      </c>
    </row>
    <row r="983" spans="2:8" x14ac:dyDescent="0.2">
      <c r="B983" s="51">
        <f t="shared" si="96"/>
        <v>0</v>
      </c>
      <c r="C983" s="8">
        <f t="shared" si="97"/>
        <v>0</v>
      </c>
      <c r="D983" s="9">
        <f t="shared" si="98"/>
        <v>0</v>
      </c>
      <c r="E983" s="9">
        <f t="shared" si="99"/>
        <v>0</v>
      </c>
      <c r="F983" s="8">
        <f t="shared" si="100"/>
        <v>0</v>
      </c>
      <c r="G983" s="16"/>
      <c r="H983" s="8">
        <f t="shared" si="101"/>
        <v>0</v>
      </c>
    </row>
    <row r="984" spans="2:8" x14ac:dyDescent="0.2">
      <c r="B984" s="51">
        <f t="shared" si="96"/>
        <v>0</v>
      </c>
      <c r="C984" s="8">
        <f t="shared" si="97"/>
        <v>0</v>
      </c>
      <c r="D984" s="9">
        <f t="shared" si="98"/>
        <v>0</v>
      </c>
      <c r="E984" s="9">
        <f t="shared" si="99"/>
        <v>0</v>
      </c>
      <c r="F984" s="8">
        <f t="shared" si="100"/>
        <v>0</v>
      </c>
      <c r="G984" s="16"/>
      <c r="H984" s="8">
        <f t="shared" si="101"/>
        <v>0</v>
      </c>
    </row>
    <row r="985" spans="2:8" x14ac:dyDescent="0.2">
      <c r="B985" s="51">
        <f t="shared" si="96"/>
        <v>0</v>
      </c>
      <c r="C985" s="8">
        <f t="shared" si="97"/>
        <v>0</v>
      </c>
      <c r="D985" s="9">
        <f t="shared" si="98"/>
        <v>0</v>
      </c>
      <c r="E985" s="9">
        <f t="shared" si="99"/>
        <v>0</v>
      </c>
      <c r="F985" s="8">
        <f t="shared" si="100"/>
        <v>0</v>
      </c>
      <c r="G985" s="16"/>
      <c r="H985" s="8">
        <f t="shared" si="101"/>
        <v>0</v>
      </c>
    </row>
    <row r="986" spans="2:8" x14ac:dyDescent="0.2">
      <c r="B986" s="51">
        <f t="shared" si="96"/>
        <v>0</v>
      </c>
      <c r="C986" s="8">
        <f t="shared" si="97"/>
        <v>0</v>
      </c>
      <c r="D986" s="9">
        <f t="shared" si="98"/>
        <v>0</v>
      </c>
      <c r="E986" s="9">
        <f t="shared" si="99"/>
        <v>0</v>
      </c>
      <c r="F986" s="8">
        <f t="shared" si="100"/>
        <v>0</v>
      </c>
      <c r="G986" s="16"/>
      <c r="H986" s="8">
        <f t="shared" si="101"/>
        <v>0</v>
      </c>
    </row>
    <row r="987" spans="2:8" x14ac:dyDescent="0.2">
      <c r="B987" s="51">
        <f t="shared" si="96"/>
        <v>0</v>
      </c>
      <c r="C987" s="8">
        <f t="shared" si="97"/>
        <v>0</v>
      </c>
      <c r="D987" s="9">
        <f t="shared" si="98"/>
        <v>0</v>
      </c>
      <c r="E987" s="9">
        <f t="shared" si="99"/>
        <v>0</v>
      </c>
      <c r="F987" s="8">
        <f t="shared" si="100"/>
        <v>0</v>
      </c>
      <c r="G987" s="16"/>
      <c r="H987" s="8">
        <f t="shared" si="101"/>
        <v>0</v>
      </c>
    </row>
    <row r="988" spans="2:8" x14ac:dyDescent="0.2">
      <c r="B988" s="51">
        <f t="shared" si="96"/>
        <v>0</v>
      </c>
      <c r="C988" s="8">
        <f t="shared" si="97"/>
        <v>0</v>
      </c>
      <c r="D988" s="9">
        <f t="shared" si="98"/>
        <v>0</v>
      </c>
      <c r="E988" s="9">
        <f t="shared" si="99"/>
        <v>0</v>
      </c>
      <c r="F988" s="8">
        <f t="shared" si="100"/>
        <v>0</v>
      </c>
      <c r="G988" s="16"/>
      <c r="H988" s="8">
        <f t="shared" si="101"/>
        <v>0</v>
      </c>
    </row>
    <row r="989" spans="2:8" x14ac:dyDescent="0.2">
      <c r="B989" s="51">
        <f t="shared" si="96"/>
        <v>0</v>
      </c>
      <c r="C989" s="8">
        <f t="shared" si="97"/>
        <v>0</v>
      </c>
      <c r="D989" s="9">
        <f t="shared" si="98"/>
        <v>0</v>
      </c>
      <c r="E989" s="9">
        <f t="shared" si="99"/>
        <v>0</v>
      </c>
      <c r="F989" s="8">
        <f t="shared" si="100"/>
        <v>0</v>
      </c>
      <c r="G989" s="16"/>
      <c r="H989" s="8">
        <f t="shared" si="101"/>
        <v>0</v>
      </c>
    </row>
    <row r="990" spans="2:8" x14ac:dyDescent="0.2">
      <c r="B990" s="51">
        <f t="shared" si="96"/>
        <v>0</v>
      </c>
      <c r="C990" s="8">
        <f t="shared" si="97"/>
        <v>0</v>
      </c>
      <c r="D990" s="9">
        <f t="shared" si="98"/>
        <v>0</v>
      </c>
      <c r="E990" s="9">
        <f t="shared" si="99"/>
        <v>0</v>
      </c>
      <c r="F990" s="8">
        <f t="shared" si="100"/>
        <v>0</v>
      </c>
      <c r="G990" s="16"/>
      <c r="H990" s="8">
        <f t="shared" si="101"/>
        <v>0</v>
      </c>
    </row>
    <row r="991" spans="2:8" x14ac:dyDescent="0.2">
      <c r="B991" s="51">
        <f t="shared" si="96"/>
        <v>0</v>
      </c>
      <c r="C991" s="8">
        <f t="shared" si="97"/>
        <v>0</v>
      </c>
      <c r="D991" s="9">
        <f t="shared" si="98"/>
        <v>0</v>
      </c>
      <c r="E991" s="9">
        <f t="shared" si="99"/>
        <v>0</v>
      </c>
      <c r="F991" s="8">
        <f t="shared" si="100"/>
        <v>0</v>
      </c>
      <c r="G991" s="16"/>
      <c r="H991" s="8">
        <f t="shared" si="101"/>
        <v>0</v>
      </c>
    </row>
    <row r="992" spans="2:8" x14ac:dyDescent="0.2">
      <c r="B992" s="51">
        <f t="shared" si="96"/>
        <v>0</v>
      </c>
      <c r="C992" s="8">
        <f t="shared" si="97"/>
        <v>0</v>
      </c>
      <c r="D992" s="9">
        <f t="shared" si="98"/>
        <v>0</v>
      </c>
      <c r="E992" s="9">
        <f t="shared" si="99"/>
        <v>0</v>
      </c>
      <c r="F992" s="8">
        <f t="shared" si="100"/>
        <v>0</v>
      </c>
      <c r="G992" s="16"/>
      <c r="H992" s="8">
        <f t="shared" si="101"/>
        <v>0</v>
      </c>
    </row>
    <row r="993" spans="2:8" x14ac:dyDescent="0.2">
      <c r="B993" s="51">
        <f t="shared" si="96"/>
        <v>0</v>
      </c>
      <c r="C993" s="8">
        <f t="shared" si="97"/>
        <v>0</v>
      </c>
      <c r="D993" s="9">
        <f t="shared" si="98"/>
        <v>0</v>
      </c>
      <c r="E993" s="9">
        <f t="shared" si="99"/>
        <v>0</v>
      </c>
      <c r="F993" s="8">
        <f t="shared" si="100"/>
        <v>0</v>
      </c>
      <c r="G993" s="16"/>
      <c r="H993" s="8">
        <f t="shared" si="101"/>
        <v>0</v>
      </c>
    </row>
    <row r="994" spans="2:8" x14ac:dyDescent="0.2">
      <c r="B994" s="51">
        <f t="shared" si="96"/>
        <v>0</v>
      </c>
      <c r="C994" s="8">
        <f t="shared" si="97"/>
        <v>0</v>
      </c>
      <c r="D994" s="9">
        <f t="shared" si="98"/>
        <v>0</v>
      </c>
      <c r="E994" s="9">
        <f t="shared" si="99"/>
        <v>0</v>
      </c>
      <c r="F994" s="8">
        <f t="shared" si="100"/>
        <v>0</v>
      </c>
      <c r="G994" s="16"/>
      <c r="H994" s="8">
        <f t="shared" si="101"/>
        <v>0</v>
      </c>
    </row>
    <row r="995" spans="2:8" x14ac:dyDescent="0.2">
      <c r="B995" s="51">
        <f t="shared" si="96"/>
        <v>0</v>
      </c>
      <c r="C995" s="8">
        <f t="shared" si="97"/>
        <v>0</v>
      </c>
      <c r="D995" s="9">
        <f t="shared" si="98"/>
        <v>0</v>
      </c>
      <c r="E995" s="9">
        <f t="shared" si="99"/>
        <v>0</v>
      </c>
      <c r="F995" s="8">
        <f t="shared" si="100"/>
        <v>0</v>
      </c>
      <c r="G995" s="16"/>
      <c r="H995" s="8">
        <f t="shared" si="101"/>
        <v>0</v>
      </c>
    </row>
    <row r="996" spans="2:8" x14ac:dyDescent="0.2">
      <c r="B996" s="51">
        <f t="shared" si="96"/>
        <v>0</v>
      </c>
      <c r="C996" s="8">
        <f t="shared" si="97"/>
        <v>0</v>
      </c>
      <c r="D996" s="9">
        <f t="shared" si="98"/>
        <v>0</v>
      </c>
      <c r="E996" s="9">
        <f t="shared" si="99"/>
        <v>0</v>
      </c>
      <c r="F996" s="8">
        <f t="shared" si="100"/>
        <v>0</v>
      </c>
      <c r="G996" s="16"/>
      <c r="H996" s="8">
        <f t="shared" si="101"/>
        <v>0</v>
      </c>
    </row>
    <row r="997" spans="2:8" x14ac:dyDescent="0.2">
      <c r="B997" s="51">
        <f t="shared" si="96"/>
        <v>0</v>
      </c>
      <c r="C997" s="8">
        <f t="shared" si="97"/>
        <v>0</v>
      </c>
      <c r="D997" s="9">
        <f t="shared" si="98"/>
        <v>0</v>
      </c>
      <c r="E997" s="9">
        <f t="shared" si="99"/>
        <v>0</v>
      </c>
      <c r="F997" s="8">
        <f t="shared" si="100"/>
        <v>0</v>
      </c>
      <c r="G997" s="16"/>
      <c r="H997" s="8">
        <f t="shared" si="101"/>
        <v>0</v>
      </c>
    </row>
    <row r="998" spans="2:8" x14ac:dyDescent="0.2">
      <c r="B998" s="51">
        <f t="shared" si="96"/>
        <v>0</v>
      </c>
      <c r="C998" s="8">
        <f t="shared" si="97"/>
        <v>0</v>
      </c>
      <c r="D998" s="9">
        <f t="shared" si="98"/>
        <v>0</v>
      </c>
      <c r="E998" s="9">
        <f t="shared" si="99"/>
        <v>0</v>
      </c>
      <c r="F998" s="8">
        <f t="shared" si="100"/>
        <v>0</v>
      </c>
      <c r="G998" s="16"/>
      <c r="H998" s="8">
        <f t="shared" si="101"/>
        <v>0</v>
      </c>
    </row>
    <row r="999" spans="2:8" x14ac:dyDescent="0.2">
      <c r="B999" s="51">
        <f t="shared" si="96"/>
        <v>0</v>
      </c>
      <c r="C999" s="8">
        <f t="shared" si="97"/>
        <v>0</v>
      </c>
      <c r="D999" s="9">
        <f t="shared" si="98"/>
        <v>0</v>
      </c>
      <c r="E999" s="9">
        <f t="shared" si="99"/>
        <v>0</v>
      </c>
      <c r="F999" s="8">
        <f t="shared" si="100"/>
        <v>0</v>
      </c>
      <c r="G999" s="16"/>
      <c r="H999" s="8">
        <f t="shared" si="101"/>
        <v>0</v>
      </c>
    </row>
    <row r="1000" spans="2:8" x14ac:dyDescent="0.2">
      <c r="B1000" s="51">
        <f t="shared" si="96"/>
        <v>0</v>
      </c>
      <c r="C1000" s="8">
        <f t="shared" si="97"/>
        <v>0</v>
      </c>
      <c r="D1000" s="9">
        <f t="shared" si="98"/>
        <v>0</v>
      </c>
      <c r="E1000" s="9">
        <f t="shared" si="99"/>
        <v>0</v>
      </c>
      <c r="F1000" s="8">
        <f t="shared" si="100"/>
        <v>0</v>
      </c>
      <c r="G1000" s="16"/>
      <c r="H1000" s="8">
        <f t="shared" si="101"/>
        <v>0</v>
      </c>
    </row>
    <row r="1001" spans="2:8" x14ac:dyDescent="0.2">
      <c r="B1001" s="51">
        <f t="shared" si="96"/>
        <v>0</v>
      </c>
      <c r="C1001" s="8">
        <f t="shared" si="97"/>
        <v>0</v>
      </c>
      <c r="D1001" s="9">
        <f t="shared" si="98"/>
        <v>0</v>
      </c>
      <c r="E1001" s="9">
        <f t="shared" si="99"/>
        <v>0</v>
      </c>
      <c r="F1001" s="8">
        <f t="shared" si="100"/>
        <v>0</v>
      </c>
      <c r="G1001" s="16"/>
      <c r="H1001" s="8">
        <f t="shared" si="101"/>
        <v>0</v>
      </c>
    </row>
    <row r="1002" spans="2:8" x14ac:dyDescent="0.2">
      <c r="B1002" s="51">
        <f t="shared" si="96"/>
        <v>0</v>
      </c>
      <c r="C1002" s="8">
        <f t="shared" si="97"/>
        <v>0</v>
      </c>
      <c r="D1002" s="9">
        <f t="shared" si="98"/>
        <v>0</v>
      </c>
      <c r="E1002" s="9">
        <f t="shared" si="99"/>
        <v>0</v>
      </c>
      <c r="F1002" s="8">
        <f t="shared" si="100"/>
        <v>0</v>
      </c>
      <c r="G1002" s="16"/>
      <c r="H1002" s="8">
        <f t="shared" si="101"/>
        <v>0</v>
      </c>
    </row>
    <row r="1003" spans="2:8" x14ac:dyDescent="0.2">
      <c r="B1003" s="51">
        <f t="shared" si="96"/>
        <v>0</v>
      </c>
      <c r="C1003" s="8">
        <f t="shared" si="97"/>
        <v>0</v>
      </c>
      <c r="D1003" s="9">
        <f t="shared" si="98"/>
        <v>0</v>
      </c>
      <c r="E1003" s="9">
        <f t="shared" si="99"/>
        <v>0</v>
      </c>
      <c r="F1003" s="8">
        <f t="shared" si="100"/>
        <v>0</v>
      </c>
      <c r="G1003" s="16"/>
      <c r="H1003" s="8">
        <f t="shared" si="101"/>
        <v>0</v>
      </c>
    </row>
    <row r="1004" spans="2:8" x14ac:dyDescent="0.2">
      <c r="B1004" s="51">
        <f t="shared" si="96"/>
        <v>0</v>
      </c>
      <c r="C1004" s="8">
        <f t="shared" si="97"/>
        <v>0</v>
      </c>
      <c r="D1004" s="9">
        <f t="shared" si="98"/>
        <v>0</v>
      </c>
      <c r="E1004" s="9">
        <f t="shared" si="99"/>
        <v>0</v>
      </c>
      <c r="F1004" s="8">
        <f t="shared" si="100"/>
        <v>0</v>
      </c>
      <c r="G1004" s="16"/>
      <c r="H1004" s="8">
        <f t="shared" si="101"/>
        <v>0</v>
      </c>
    </row>
    <row r="1005" spans="2:8" x14ac:dyDescent="0.2">
      <c r="B1005" s="51">
        <f t="shared" si="96"/>
        <v>0</v>
      </c>
      <c r="C1005" s="8">
        <f t="shared" si="97"/>
        <v>0</v>
      </c>
      <c r="D1005" s="9">
        <f t="shared" si="98"/>
        <v>0</v>
      </c>
      <c r="E1005" s="9">
        <f t="shared" si="99"/>
        <v>0</v>
      </c>
      <c r="F1005" s="8">
        <f t="shared" si="100"/>
        <v>0</v>
      </c>
      <c r="G1005" s="16"/>
      <c r="H1005" s="8">
        <f t="shared" si="101"/>
        <v>0</v>
      </c>
    </row>
    <row r="1006" spans="2:8" x14ac:dyDescent="0.2">
      <c r="B1006" s="51">
        <f t="shared" si="96"/>
        <v>0</v>
      </c>
      <c r="C1006" s="8">
        <f t="shared" si="97"/>
        <v>0</v>
      </c>
      <c r="D1006" s="9">
        <f t="shared" si="98"/>
        <v>0</v>
      </c>
      <c r="E1006" s="9">
        <f t="shared" si="99"/>
        <v>0</v>
      </c>
      <c r="F1006" s="8">
        <f t="shared" si="100"/>
        <v>0</v>
      </c>
      <c r="G1006" s="16"/>
      <c r="H1006" s="8">
        <f t="shared" si="101"/>
        <v>0</v>
      </c>
    </row>
    <row r="1007" spans="2:8" x14ac:dyDescent="0.2">
      <c r="B1007" s="51">
        <f t="shared" si="96"/>
        <v>0</v>
      </c>
      <c r="C1007" s="8">
        <f t="shared" si="97"/>
        <v>0</v>
      </c>
      <c r="D1007" s="9">
        <f t="shared" si="98"/>
        <v>0</v>
      </c>
      <c r="E1007" s="9">
        <f t="shared" si="99"/>
        <v>0</v>
      </c>
      <c r="F1007" s="8">
        <f t="shared" si="100"/>
        <v>0</v>
      </c>
      <c r="G1007" s="16"/>
      <c r="H1007" s="8">
        <f t="shared" si="101"/>
        <v>0</v>
      </c>
    </row>
    <row r="1008" spans="2:8" x14ac:dyDescent="0.2">
      <c r="B1008" s="51">
        <f t="shared" si="96"/>
        <v>0</v>
      </c>
      <c r="C1008" s="8">
        <f t="shared" si="97"/>
        <v>0</v>
      </c>
      <c r="D1008" s="9">
        <f t="shared" si="98"/>
        <v>0</v>
      </c>
      <c r="E1008" s="9">
        <f t="shared" si="99"/>
        <v>0</v>
      </c>
      <c r="F1008" s="8">
        <f t="shared" si="100"/>
        <v>0</v>
      </c>
      <c r="G1008" s="16"/>
      <c r="H1008" s="8">
        <f t="shared" si="101"/>
        <v>0</v>
      </c>
    </row>
    <row r="1009" spans="2:8" x14ac:dyDescent="0.2">
      <c r="B1009" s="51">
        <f t="shared" si="96"/>
        <v>0</v>
      </c>
      <c r="C1009" s="8">
        <f t="shared" si="97"/>
        <v>0</v>
      </c>
      <c r="D1009" s="9">
        <f t="shared" si="98"/>
        <v>0</v>
      </c>
      <c r="E1009" s="9">
        <f t="shared" si="99"/>
        <v>0</v>
      </c>
      <c r="F1009" s="8">
        <f t="shared" si="100"/>
        <v>0</v>
      </c>
      <c r="G1009" s="16"/>
      <c r="H1009" s="8">
        <f t="shared" si="101"/>
        <v>0</v>
      </c>
    </row>
    <row r="1010" spans="2:8" x14ac:dyDescent="0.2">
      <c r="B1010" s="51">
        <f t="shared" si="96"/>
        <v>0</v>
      </c>
      <c r="C1010" s="8">
        <f t="shared" si="97"/>
        <v>0</v>
      </c>
      <c r="D1010" s="9">
        <f t="shared" si="98"/>
        <v>0</v>
      </c>
      <c r="E1010" s="9">
        <f t="shared" si="99"/>
        <v>0</v>
      </c>
      <c r="F1010" s="8">
        <f t="shared" si="100"/>
        <v>0</v>
      </c>
      <c r="G1010" s="16"/>
      <c r="H1010" s="8">
        <f t="shared" si="101"/>
        <v>0</v>
      </c>
    </row>
    <row r="1011" spans="2:8" x14ac:dyDescent="0.2">
      <c r="B1011" s="51">
        <f t="shared" ref="B1011:B1026" si="102">IF(AND(B1010&gt;0,B1010&lt;E$8),B1010+1,0)</f>
        <v>0</v>
      </c>
      <c r="C1011" s="8">
        <f t="shared" ref="C1011:C1026" si="103">IF(B1011&gt;0,H1010,0)</f>
        <v>0</v>
      </c>
      <c r="D1011" s="9">
        <f t="shared" ref="D1011:D1026" si="104">IF(B1011&gt;0,C1011*$F$8,0)</f>
        <v>0</v>
      </c>
      <c r="E1011" s="9">
        <f t="shared" ref="E1011:E1026" si="105">IF(B1011&gt;0,C1011+D1011,0)</f>
        <v>0</v>
      </c>
      <c r="F1011" s="8">
        <f t="shared" ref="F1011:F1026" si="106">IF(B1011&gt;0,$D$8,0)</f>
        <v>0</v>
      </c>
      <c r="G1011" s="16"/>
      <c r="H1011" s="8">
        <f t="shared" ref="H1011:H1026" si="107">IF(B1011&gt;0,E1011+F1011+G1011,0)</f>
        <v>0</v>
      </c>
    </row>
    <row r="1012" spans="2:8" x14ac:dyDescent="0.2">
      <c r="B1012" s="51">
        <f t="shared" si="102"/>
        <v>0</v>
      </c>
      <c r="C1012" s="8">
        <f t="shared" si="103"/>
        <v>0</v>
      </c>
      <c r="D1012" s="9">
        <f t="shared" si="104"/>
        <v>0</v>
      </c>
      <c r="E1012" s="9">
        <f t="shared" si="105"/>
        <v>0</v>
      </c>
      <c r="F1012" s="8">
        <f t="shared" si="106"/>
        <v>0</v>
      </c>
      <c r="G1012" s="16"/>
      <c r="H1012" s="8">
        <f t="shared" si="107"/>
        <v>0</v>
      </c>
    </row>
    <row r="1013" spans="2:8" x14ac:dyDescent="0.2">
      <c r="B1013" s="51">
        <f t="shared" si="102"/>
        <v>0</v>
      </c>
      <c r="C1013" s="8">
        <f t="shared" si="103"/>
        <v>0</v>
      </c>
      <c r="D1013" s="9">
        <f t="shared" si="104"/>
        <v>0</v>
      </c>
      <c r="E1013" s="9">
        <f t="shared" si="105"/>
        <v>0</v>
      </c>
      <c r="F1013" s="8">
        <f t="shared" si="106"/>
        <v>0</v>
      </c>
      <c r="G1013" s="16"/>
      <c r="H1013" s="8">
        <f t="shared" si="107"/>
        <v>0</v>
      </c>
    </row>
    <row r="1014" spans="2:8" x14ac:dyDescent="0.2">
      <c r="B1014" s="51">
        <f t="shared" si="102"/>
        <v>0</v>
      </c>
      <c r="C1014" s="8">
        <f t="shared" si="103"/>
        <v>0</v>
      </c>
      <c r="D1014" s="9">
        <f t="shared" si="104"/>
        <v>0</v>
      </c>
      <c r="E1014" s="9">
        <f t="shared" si="105"/>
        <v>0</v>
      </c>
      <c r="F1014" s="8">
        <f t="shared" si="106"/>
        <v>0</v>
      </c>
      <c r="G1014" s="16"/>
      <c r="H1014" s="8">
        <f t="shared" si="107"/>
        <v>0</v>
      </c>
    </row>
    <row r="1015" spans="2:8" x14ac:dyDescent="0.2">
      <c r="B1015" s="51">
        <f t="shared" si="102"/>
        <v>0</v>
      </c>
      <c r="C1015" s="8">
        <f t="shared" si="103"/>
        <v>0</v>
      </c>
      <c r="D1015" s="9">
        <f t="shared" si="104"/>
        <v>0</v>
      </c>
      <c r="E1015" s="9">
        <f t="shared" si="105"/>
        <v>0</v>
      </c>
      <c r="F1015" s="8">
        <f t="shared" si="106"/>
        <v>0</v>
      </c>
      <c r="G1015" s="16"/>
      <c r="H1015" s="8">
        <f t="shared" si="107"/>
        <v>0</v>
      </c>
    </row>
    <row r="1016" spans="2:8" x14ac:dyDescent="0.2">
      <c r="B1016" s="51">
        <f t="shared" si="102"/>
        <v>0</v>
      </c>
      <c r="C1016" s="8">
        <f t="shared" si="103"/>
        <v>0</v>
      </c>
      <c r="D1016" s="9">
        <f t="shared" si="104"/>
        <v>0</v>
      </c>
      <c r="E1016" s="9">
        <f t="shared" si="105"/>
        <v>0</v>
      </c>
      <c r="F1016" s="8">
        <f t="shared" si="106"/>
        <v>0</v>
      </c>
      <c r="G1016" s="16"/>
      <c r="H1016" s="8">
        <f t="shared" si="107"/>
        <v>0</v>
      </c>
    </row>
    <row r="1017" spans="2:8" x14ac:dyDescent="0.2">
      <c r="B1017" s="51">
        <f t="shared" si="102"/>
        <v>0</v>
      </c>
      <c r="C1017" s="8">
        <f t="shared" si="103"/>
        <v>0</v>
      </c>
      <c r="D1017" s="9">
        <f t="shared" si="104"/>
        <v>0</v>
      </c>
      <c r="E1017" s="9">
        <f t="shared" si="105"/>
        <v>0</v>
      </c>
      <c r="F1017" s="8">
        <f t="shared" si="106"/>
        <v>0</v>
      </c>
      <c r="G1017" s="16"/>
      <c r="H1017" s="8">
        <f t="shared" si="107"/>
        <v>0</v>
      </c>
    </row>
    <row r="1018" spans="2:8" x14ac:dyDescent="0.2">
      <c r="B1018" s="51">
        <f t="shared" si="102"/>
        <v>0</v>
      </c>
      <c r="C1018" s="8">
        <f t="shared" si="103"/>
        <v>0</v>
      </c>
      <c r="D1018" s="9">
        <f t="shared" si="104"/>
        <v>0</v>
      </c>
      <c r="E1018" s="9">
        <f t="shared" si="105"/>
        <v>0</v>
      </c>
      <c r="F1018" s="8">
        <f t="shared" si="106"/>
        <v>0</v>
      </c>
      <c r="G1018" s="16"/>
      <c r="H1018" s="8">
        <f t="shared" si="107"/>
        <v>0</v>
      </c>
    </row>
    <row r="1019" spans="2:8" x14ac:dyDescent="0.2">
      <c r="B1019" s="51">
        <f t="shared" si="102"/>
        <v>0</v>
      </c>
      <c r="C1019" s="8">
        <f t="shared" si="103"/>
        <v>0</v>
      </c>
      <c r="D1019" s="9">
        <f t="shared" si="104"/>
        <v>0</v>
      </c>
      <c r="E1019" s="9">
        <f t="shared" si="105"/>
        <v>0</v>
      </c>
      <c r="F1019" s="8">
        <f t="shared" si="106"/>
        <v>0</v>
      </c>
      <c r="G1019" s="16"/>
      <c r="H1019" s="8">
        <f t="shared" si="107"/>
        <v>0</v>
      </c>
    </row>
    <row r="1020" spans="2:8" x14ac:dyDescent="0.2">
      <c r="B1020" s="51">
        <f t="shared" si="102"/>
        <v>0</v>
      </c>
      <c r="C1020" s="8">
        <f t="shared" si="103"/>
        <v>0</v>
      </c>
      <c r="D1020" s="9">
        <f t="shared" si="104"/>
        <v>0</v>
      </c>
      <c r="E1020" s="9">
        <f t="shared" si="105"/>
        <v>0</v>
      </c>
      <c r="F1020" s="8">
        <f t="shared" si="106"/>
        <v>0</v>
      </c>
      <c r="G1020" s="16"/>
      <c r="H1020" s="8">
        <f t="shared" si="107"/>
        <v>0</v>
      </c>
    </row>
    <row r="1021" spans="2:8" x14ac:dyDescent="0.2">
      <c r="B1021" s="51">
        <f t="shared" si="102"/>
        <v>0</v>
      </c>
      <c r="C1021" s="8">
        <f t="shared" si="103"/>
        <v>0</v>
      </c>
      <c r="D1021" s="9">
        <f t="shared" si="104"/>
        <v>0</v>
      </c>
      <c r="E1021" s="9">
        <f t="shared" si="105"/>
        <v>0</v>
      </c>
      <c r="F1021" s="8">
        <f t="shared" si="106"/>
        <v>0</v>
      </c>
      <c r="G1021" s="16"/>
      <c r="H1021" s="8">
        <f t="shared" si="107"/>
        <v>0</v>
      </c>
    </row>
    <row r="1022" spans="2:8" x14ac:dyDescent="0.2">
      <c r="B1022" s="51">
        <f t="shared" si="102"/>
        <v>0</v>
      </c>
      <c r="C1022" s="8">
        <f t="shared" si="103"/>
        <v>0</v>
      </c>
      <c r="D1022" s="9">
        <f t="shared" si="104"/>
        <v>0</v>
      </c>
      <c r="E1022" s="9">
        <f t="shared" si="105"/>
        <v>0</v>
      </c>
      <c r="F1022" s="8">
        <f t="shared" si="106"/>
        <v>0</v>
      </c>
      <c r="G1022" s="16"/>
      <c r="H1022" s="8">
        <f t="shared" si="107"/>
        <v>0</v>
      </c>
    </row>
    <row r="1023" spans="2:8" x14ac:dyDescent="0.2">
      <c r="B1023" s="51">
        <f t="shared" si="102"/>
        <v>0</v>
      </c>
      <c r="C1023" s="8">
        <f t="shared" si="103"/>
        <v>0</v>
      </c>
      <c r="D1023" s="9">
        <f t="shared" si="104"/>
        <v>0</v>
      </c>
      <c r="E1023" s="9">
        <f t="shared" si="105"/>
        <v>0</v>
      </c>
      <c r="F1023" s="8">
        <f t="shared" si="106"/>
        <v>0</v>
      </c>
      <c r="G1023" s="16"/>
      <c r="H1023" s="8">
        <f t="shared" si="107"/>
        <v>0</v>
      </c>
    </row>
    <row r="1024" spans="2:8" x14ac:dyDescent="0.2">
      <c r="B1024" s="51">
        <f t="shared" si="102"/>
        <v>0</v>
      </c>
      <c r="C1024" s="8">
        <f t="shared" si="103"/>
        <v>0</v>
      </c>
      <c r="D1024" s="9">
        <f t="shared" si="104"/>
        <v>0</v>
      </c>
      <c r="E1024" s="9">
        <f t="shared" si="105"/>
        <v>0</v>
      </c>
      <c r="F1024" s="8">
        <f t="shared" si="106"/>
        <v>0</v>
      </c>
      <c r="G1024" s="16"/>
      <c r="H1024" s="8">
        <f t="shared" si="107"/>
        <v>0</v>
      </c>
    </row>
    <row r="1025" spans="2:8" x14ac:dyDescent="0.2">
      <c r="B1025" s="51">
        <f t="shared" si="102"/>
        <v>0</v>
      </c>
      <c r="C1025" s="8">
        <f t="shared" si="103"/>
        <v>0</v>
      </c>
      <c r="D1025" s="9">
        <f t="shared" si="104"/>
        <v>0</v>
      </c>
      <c r="E1025" s="9">
        <f t="shared" si="105"/>
        <v>0</v>
      </c>
      <c r="F1025" s="8">
        <f t="shared" si="106"/>
        <v>0</v>
      </c>
      <c r="G1025" s="16"/>
      <c r="H1025" s="8">
        <f t="shared" si="107"/>
        <v>0</v>
      </c>
    </row>
    <row r="1026" spans="2:8" x14ac:dyDescent="0.2">
      <c r="B1026" s="51">
        <f t="shared" si="102"/>
        <v>0</v>
      </c>
      <c r="C1026" s="8">
        <f t="shared" si="103"/>
        <v>0</v>
      </c>
      <c r="D1026" s="9">
        <f t="shared" si="104"/>
        <v>0</v>
      </c>
      <c r="E1026" s="9">
        <f t="shared" si="105"/>
        <v>0</v>
      </c>
      <c r="F1026" s="8">
        <f t="shared" si="106"/>
        <v>0</v>
      </c>
      <c r="G1026" s="16"/>
      <c r="H1026" s="8">
        <f t="shared" si="107"/>
        <v>0</v>
      </c>
    </row>
    <row r="1027" spans="2:8" x14ac:dyDescent="0.2"/>
  </sheetData>
  <mergeCells count="3">
    <mergeCell ref="B7:C7"/>
    <mergeCell ref="B8:C8"/>
    <mergeCell ref="B4:H5"/>
  </mergeCells>
  <phoneticPr fontId="0" type="noConversion"/>
  <printOptions horizontalCentered="1"/>
  <pageMargins left="0.7" right="0.7" top="0.75" bottom="0.75" header="0.3" footer="0.3"/>
  <pageSetup paperSize="9" orientation="portrait" horizontalDpi="4294967293" r:id="rId1"/>
  <headerFooter>
    <oddFooter>&amp;CPág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4</vt:i4>
      </vt:variant>
    </vt:vector>
  </HeadingPairs>
  <TitlesOfParts>
    <vt:vector size="6" baseType="lpstr">
      <vt:lpstr>Planilha1</vt:lpstr>
      <vt:lpstr>PRICE</vt:lpstr>
      <vt:lpstr>PRICE!Area_de_impressao</vt:lpstr>
      <vt:lpstr>PriceTudo</vt:lpstr>
      <vt:lpstr>Tabeladinamica1</vt:lpstr>
      <vt:lpstr>PRICE!Titulos_de_impressao</vt:lpstr>
    </vt:vector>
  </TitlesOfParts>
  <Company>Lafayette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caua.ferreira@ezentis.com.br</dc:creator>
  <cp:lastModifiedBy>caua.ferreira</cp:lastModifiedBy>
  <cp:lastPrinted>2013-08-22T03:19:59Z</cp:lastPrinted>
  <dcterms:created xsi:type="dcterms:W3CDTF">2008-10-30T21:02:39Z</dcterms:created>
  <dcterms:modified xsi:type="dcterms:W3CDTF">2022-02-09T02:16:28Z</dcterms:modified>
</cp:coreProperties>
</file>